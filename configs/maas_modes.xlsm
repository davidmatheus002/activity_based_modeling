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zhouh\surfdrive\work\activitysim2020\case_delft\configs_MaaS\"/>
    </mc:Choice>
  </mc:AlternateContent>
  <xr:revisionPtr revIDLastSave="0" documentId="13_ncr:1_{E062953C-4DAD-45A0-96C5-C81A699D3233}" xr6:coauthVersionLast="44" xr6:coauthVersionMax="44" xr10:uidLastSave="{00000000-0000-0000-0000-000000000000}"/>
  <bookViews>
    <workbookView xWindow="-108" yWindow="-108" windowWidth="23256" windowHeight="12576" tabRatio="724" activeTab="3" xr2:uid="{E87A2062-6BB2-4276-9CF5-3115F74CECE9}"/>
  </bookViews>
  <sheets>
    <sheet name="Modes_MaaS" sheetId="11" r:id="rId1"/>
    <sheet name="modeMaaS_REF" sheetId="16" r:id="rId2"/>
    <sheet name="access egress" sheetId="15" r:id="rId3"/>
    <sheet name="tours_asim" sheetId="18" r:id="rId4"/>
    <sheet name="persons_asim" sheetId="19" r:id="rId5"/>
    <sheet name="LOS skims" sheetId="20" r:id="rId6"/>
    <sheet name="Modes(deprecated)" sheetId="4" r:id="rId7"/>
    <sheet name="Tours" sheetId="1" r:id="rId8"/>
    <sheet name="persons" sheetId="13" r:id="rId9"/>
    <sheet name="Utility_Prob" sheetId="12" r:id="rId10"/>
    <sheet name="location restrictions" sheetId="5" r:id="rId11"/>
    <sheet name="aantekeningen" sheetId="9" r:id="rId12"/>
  </sheets>
  <functionGroups builtInGroupCount="19"/>
  <definedNames>
    <definedName name="_xlnm._FilterDatabase" localSheetId="1" hidden="1">modeMaaS_REF!$I$1:$I$129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41" i="16" l="1"/>
  <c r="J122" i="16"/>
  <c r="J117" i="16"/>
  <c r="J112" i="16"/>
  <c r="J107" i="16"/>
  <c r="J106" i="16"/>
  <c r="J105" i="16"/>
  <c r="J104" i="16"/>
  <c r="J103" i="16"/>
  <c r="J97" i="16"/>
  <c r="J92" i="16"/>
  <c r="J87" i="16"/>
  <c r="J82" i="16"/>
  <c r="J81" i="16"/>
  <c r="J80" i="16"/>
  <c r="J79" i="16"/>
  <c r="J78" i="16"/>
  <c r="J71" i="16"/>
  <c r="J65" i="16"/>
  <c r="J59" i="16"/>
  <c r="J53" i="16"/>
  <c r="J47" i="16"/>
  <c r="J46" i="16"/>
  <c r="J45" i="16"/>
  <c r="J44" i="16"/>
  <c r="J43" i="16"/>
  <c r="J42" i="16"/>
  <c r="J35" i="16"/>
  <c r="J29" i="16"/>
  <c r="J23" i="16"/>
  <c r="J17" i="16"/>
  <c r="J11" i="16"/>
  <c r="J10" i="16"/>
  <c r="J9" i="16"/>
  <c r="J8" i="16"/>
  <c r="J7" i="16"/>
  <c r="J6" i="16"/>
  <c r="I3" i="16"/>
  <c r="I4"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2" i="16"/>
  <c r="G125" i="16" l="1"/>
  <c r="F125" i="16"/>
  <c r="G117" i="16"/>
  <c r="F117" i="16"/>
  <c r="G112" i="16"/>
  <c r="F112" i="16"/>
  <c r="G107" i="16"/>
  <c r="F107" i="16"/>
  <c r="G97" i="16"/>
  <c r="F97" i="16"/>
  <c r="G92" i="16"/>
  <c r="F92" i="16"/>
  <c r="G87" i="16"/>
  <c r="F87" i="16"/>
  <c r="G82" i="16"/>
  <c r="F82" i="16"/>
  <c r="G75" i="16"/>
  <c r="F75" i="16"/>
  <c r="G74" i="16"/>
  <c r="F74" i="16"/>
  <c r="G73" i="16"/>
  <c r="F73" i="16"/>
  <c r="G72" i="16"/>
  <c r="F72" i="16"/>
  <c r="G71" i="16"/>
  <c r="F71" i="16"/>
  <c r="G67" i="16"/>
  <c r="F67" i="16"/>
  <c r="G66" i="16"/>
  <c r="F66" i="16"/>
  <c r="G65" i="16"/>
  <c r="F65" i="16"/>
  <c r="G61" i="16"/>
  <c r="F61" i="16"/>
  <c r="G60" i="16"/>
  <c r="F60" i="16"/>
  <c r="G59" i="16"/>
  <c r="F59" i="16"/>
  <c r="G54" i="16"/>
  <c r="F54" i="16"/>
  <c r="G47" i="16"/>
  <c r="F47" i="16"/>
  <c r="G39" i="16"/>
  <c r="F39" i="16"/>
  <c r="G38" i="16"/>
  <c r="F38" i="16"/>
  <c r="G37" i="16"/>
  <c r="F37" i="16"/>
  <c r="G36" i="16"/>
  <c r="F36" i="16"/>
  <c r="G35" i="16"/>
  <c r="F35" i="16"/>
  <c r="G31" i="16"/>
  <c r="F31" i="16"/>
  <c r="G30" i="16"/>
  <c r="F30" i="16"/>
  <c r="G29" i="16"/>
  <c r="F29" i="16"/>
  <c r="G25" i="16"/>
  <c r="F25" i="16"/>
  <c r="G24" i="16"/>
  <c r="F24" i="16"/>
  <c r="G23" i="16"/>
  <c r="F23" i="16"/>
  <c r="G18" i="16"/>
  <c r="F18" i="16"/>
  <c r="F128" i="16" s="1"/>
  <c r="G17" i="16"/>
  <c r="G129" i="16" s="1"/>
  <c r="F17" i="16"/>
  <c r="G11" i="16"/>
  <c r="F11" i="16"/>
  <c r="G128" i="16" l="1"/>
  <c r="F129" i="16"/>
  <c r="L28" i="1"/>
  <c r="L29" i="1"/>
  <c r="L37" i="1" l="1"/>
  <c r="M37" i="1"/>
  <c r="M36" i="1"/>
  <c r="L36" i="1"/>
  <c r="M35" i="1"/>
  <c r="L35" i="1"/>
  <c r="AF4" i="1" l="1"/>
  <c r="AF75" i="1" s="1"/>
  <c r="AF3" i="1"/>
  <c r="AE74" i="1" s="1"/>
  <c r="AE76" i="1" l="1"/>
  <c r="AE73" i="1"/>
  <c r="AF76" i="1"/>
  <c r="AE75" i="1"/>
  <c r="AG3" i="1"/>
  <c r="Z18" i="1"/>
  <c r="AC3" i="1"/>
  <c r="Z4" i="1"/>
  <c r="Z5" i="1"/>
  <c r="Z3" i="1"/>
  <c r="AE38" i="1" s="1"/>
  <c r="AB18" i="1" l="1"/>
  <c r="Z19" i="1"/>
  <c r="AA19" i="1"/>
  <c r="AB19" i="1"/>
  <c r="AC19" i="1"/>
  <c r="AD19" i="1"/>
  <c r="AF94" i="1" s="1"/>
  <c r="AE19" i="1"/>
  <c r="AF19" i="1"/>
  <c r="AF96" i="1" s="1"/>
  <c r="AG19" i="1"/>
  <c r="AG18" i="1"/>
  <c r="AF18" i="1"/>
  <c r="AE18" i="1"/>
  <c r="AE94" i="1" s="1"/>
  <c r="AD18" i="1"/>
  <c r="AC18" i="1"/>
  <c r="AE91" i="1" s="1"/>
  <c r="AA18" i="1"/>
  <c r="AE82" i="1"/>
  <c r="AE3" i="1"/>
  <c r="AM3" i="1" s="1"/>
  <c r="AD3" i="1"/>
  <c r="AB3" i="1"/>
  <c r="AA3" i="1"/>
  <c r="AT3" i="1" s="1"/>
  <c r="AE89" i="1" l="1"/>
  <c r="AF90" i="1"/>
  <c r="AF86" i="1"/>
  <c r="AF95" i="1"/>
  <c r="AE95" i="1"/>
  <c r="AE96" i="1"/>
  <c r="AH96" i="1" s="1"/>
  <c r="AI96" i="1" s="1"/>
  <c r="AJ3" i="1"/>
  <c r="AL3" i="1"/>
  <c r="AN3" i="1" s="1"/>
  <c r="AY3" i="1"/>
  <c r="AT19" i="1"/>
  <c r="AJ19" i="1"/>
  <c r="AF91" i="1"/>
  <c r="AH91" i="1" s="1"/>
  <c r="AI91" i="1" s="1"/>
  <c r="AV19" i="1"/>
  <c r="AK19" i="1"/>
  <c r="AH3" i="1"/>
  <c r="BL3" i="1" s="1"/>
  <c r="AE86" i="1"/>
  <c r="AW18" i="1"/>
  <c r="AF89" i="1"/>
  <c r="AL19" i="1"/>
  <c r="AX19" i="1"/>
  <c r="AF82" i="1"/>
  <c r="AH82" i="1" s="1"/>
  <c r="AI82" i="1" s="1"/>
  <c r="BA19" i="1"/>
  <c r="AE85" i="1"/>
  <c r="AU18" i="1"/>
  <c r="AT18" i="1"/>
  <c r="AJ18" i="1"/>
  <c r="AM19" i="1"/>
  <c r="AZ19" i="1"/>
  <c r="AE92" i="1"/>
  <c r="AX18" i="1"/>
  <c r="AL18" i="1"/>
  <c r="AY18" i="1"/>
  <c r="AE93" i="1"/>
  <c r="AM18" i="1"/>
  <c r="AZ18" i="1"/>
  <c r="AW19" i="1"/>
  <c r="AF88" i="1"/>
  <c r="AE88" i="1"/>
  <c r="AK18" i="1"/>
  <c r="AV18" i="1"/>
  <c r="AF84" i="1"/>
  <c r="AY19" i="1"/>
  <c r="AW3" i="1"/>
  <c r="AK3" i="1"/>
  <c r="BA18" i="1"/>
  <c r="AF83" i="1"/>
  <c r="AU19" i="1"/>
  <c r="AE87" i="1"/>
  <c r="AU3" i="1"/>
  <c r="AF93" i="1"/>
  <c r="AE83" i="1"/>
  <c r="AH94" i="1"/>
  <c r="AI94" i="1" s="1"/>
  <c r="AF85" i="1"/>
  <c r="BA3" i="1"/>
  <c r="AF92" i="1"/>
  <c r="AE90" i="1"/>
  <c r="AH90" i="1" s="1"/>
  <c r="AI90" i="1" s="1"/>
  <c r="AZ3" i="1"/>
  <c r="AH19" i="1"/>
  <c r="BO19" i="1" s="1"/>
  <c r="AE84" i="1"/>
  <c r="AX3" i="1"/>
  <c r="AV3" i="1"/>
  <c r="AF87" i="1"/>
  <c r="AH18" i="1"/>
  <c r="BK18" i="1" s="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39" i="1"/>
  <c r="AG38" i="1"/>
  <c r="AF38" i="1"/>
  <c r="AG5" i="1"/>
  <c r="AG61" i="1" s="1"/>
  <c r="AF5" i="1"/>
  <c r="AG40" i="1" s="1"/>
  <c r="AE5" i="1"/>
  <c r="AD5" i="1"/>
  <c r="AC5" i="1"/>
  <c r="AG45" i="1" s="1"/>
  <c r="AB5" i="1"/>
  <c r="AA5" i="1"/>
  <c r="AG62" i="1" s="1"/>
  <c r="AG4" i="1"/>
  <c r="AF70" i="1" s="1"/>
  <c r="AE4" i="1"/>
  <c r="AD4" i="1"/>
  <c r="AC4" i="1"/>
  <c r="AF50" i="1" s="1"/>
  <c r="AB4" i="1"/>
  <c r="AF40" i="1" s="1"/>
  <c r="AA4" i="1"/>
  <c r="AF48" i="1" s="1"/>
  <c r="AH95" i="1" l="1"/>
  <c r="AI95" i="1" s="1"/>
  <c r="AG60" i="1"/>
  <c r="AH89" i="1"/>
  <c r="AI89" i="1" s="1"/>
  <c r="AF39" i="1"/>
  <c r="AH86" i="1"/>
  <c r="AI86" i="1" s="1"/>
  <c r="AG44" i="1"/>
  <c r="AG48" i="1"/>
  <c r="AG42" i="1"/>
  <c r="AF59" i="1"/>
  <c r="AG51" i="1"/>
  <c r="AG63" i="1"/>
  <c r="AG56" i="1"/>
  <c r="AF43" i="1"/>
  <c r="AG73" i="1"/>
  <c r="AG75" i="1"/>
  <c r="AH75" i="1" s="1"/>
  <c r="AI75" i="1" s="1"/>
  <c r="AF67" i="1"/>
  <c r="AG59" i="1"/>
  <c r="AF51" i="1"/>
  <c r="AG47" i="1"/>
  <c r="AG64" i="1"/>
  <c r="AF74" i="1"/>
  <c r="AF73" i="1"/>
  <c r="AG66" i="1"/>
  <c r="AF62" i="1"/>
  <c r="AH62" i="1" s="1"/>
  <c r="AI62" i="1" s="1"/>
  <c r="AG54" i="1"/>
  <c r="BQ18" i="1"/>
  <c r="AH88" i="1"/>
  <c r="AI88" i="1" s="1"/>
  <c r="AF55" i="1"/>
  <c r="AG58" i="1"/>
  <c r="AF54" i="1"/>
  <c r="AG41" i="1"/>
  <c r="AG76" i="1"/>
  <c r="AH76" i="1" s="1"/>
  <c r="AI76" i="1" s="1"/>
  <c r="AG74" i="1"/>
  <c r="AF58" i="1"/>
  <c r="AP3" i="1"/>
  <c r="AH92" i="1"/>
  <c r="AI92" i="1" s="1"/>
  <c r="AS19" i="1"/>
  <c r="BM19" i="1"/>
  <c r="BN18" i="1"/>
  <c r="BK19" i="1"/>
  <c r="BL19" i="1"/>
  <c r="BP18" i="1"/>
  <c r="BN19" i="1"/>
  <c r="BA5" i="1"/>
  <c r="AH87" i="1"/>
  <c r="AI87" i="1" s="1"/>
  <c r="BQ19" i="1"/>
  <c r="BR18" i="1"/>
  <c r="AS18" i="1"/>
  <c r="BP19" i="1"/>
  <c r="BA4" i="1"/>
  <c r="AZ4" i="1"/>
  <c r="AM4" i="1"/>
  <c r="AG50" i="1"/>
  <c r="AH50" i="1" s="1"/>
  <c r="AI50" i="1" s="1"/>
  <c r="AK5" i="1"/>
  <c r="AV5" i="1"/>
  <c r="BM18" i="1"/>
  <c r="AF68" i="1"/>
  <c r="AV4" i="1"/>
  <c r="AK4" i="1"/>
  <c r="AH85" i="1"/>
  <c r="AI85" i="1" s="1"/>
  <c r="AW5" i="1"/>
  <c r="AG57" i="1"/>
  <c r="AX5" i="1"/>
  <c r="AL5" i="1"/>
  <c r="AH83" i="1"/>
  <c r="AI83" i="1" s="1"/>
  <c r="AU5" i="1"/>
  <c r="AJ5" i="1"/>
  <c r="AT5" i="1"/>
  <c r="AF49" i="1"/>
  <c r="AU4" i="1"/>
  <c r="AT4" i="1"/>
  <c r="AJ4" i="1"/>
  <c r="AH84" i="1"/>
  <c r="AI84" i="1" s="1"/>
  <c r="AW4" i="1"/>
  <c r="AG68" i="1"/>
  <c r="AY5" i="1"/>
  <c r="AH93" i="1"/>
  <c r="AI93" i="1" s="1"/>
  <c r="BO18" i="1"/>
  <c r="BL18" i="1"/>
  <c r="BR19" i="1"/>
  <c r="AQ3" i="1"/>
  <c r="AZ5" i="1"/>
  <c r="AM5" i="1"/>
  <c r="BN3" i="1"/>
  <c r="AN18" i="1"/>
  <c r="AQ18" i="1" s="1"/>
  <c r="AR18" i="1"/>
  <c r="AR19" i="1"/>
  <c r="AN19" i="1"/>
  <c r="AQ19" i="1" s="1"/>
  <c r="AO3" i="1"/>
  <c r="BB3" i="1" s="1"/>
  <c r="AH38" i="1"/>
  <c r="AI38" i="1" s="1"/>
  <c r="AX4" i="1"/>
  <c r="AY4" i="1"/>
  <c r="AL4" i="1"/>
  <c r="AH40" i="1"/>
  <c r="AI40" i="1" s="1"/>
  <c r="AF65" i="1"/>
  <c r="AF56" i="1"/>
  <c r="AF53" i="1"/>
  <c r="AF45" i="1"/>
  <c r="AH45" i="1" s="1"/>
  <c r="AI45" i="1" s="1"/>
  <c r="AF42" i="1"/>
  <c r="AH4" i="1"/>
  <c r="BK4" i="1" s="1"/>
  <c r="AF46" i="1"/>
  <c r="AG70" i="1"/>
  <c r="AH70" i="1" s="1"/>
  <c r="AI70" i="1" s="1"/>
  <c r="AG72" i="1"/>
  <c r="AG43" i="1"/>
  <c r="AG53" i="1"/>
  <c r="AG69" i="1"/>
  <c r="AF61" i="1"/>
  <c r="AH61" i="1" s="1"/>
  <c r="AI61" i="1" s="1"/>
  <c r="AG71" i="1"/>
  <c r="AR3" i="1"/>
  <c r="AF72" i="1"/>
  <c r="AF64" i="1"/>
  <c r="AF69" i="1"/>
  <c r="AH5" i="1"/>
  <c r="BL5" i="1" s="1"/>
  <c r="AF66" i="1"/>
  <c r="AG55" i="1"/>
  <c r="AF47" i="1"/>
  <c r="AF63" i="1"/>
  <c r="AG49" i="1"/>
  <c r="AF44" i="1"/>
  <c r="AF41" i="1"/>
  <c r="AF57" i="1"/>
  <c r="AG67" i="1"/>
  <c r="AG52" i="1"/>
  <c r="AF71" i="1"/>
  <c r="AF52" i="1"/>
  <c r="AG39" i="1"/>
  <c r="AG65" i="1"/>
  <c r="AF60" i="1"/>
  <c r="AH60" i="1" s="1"/>
  <c r="AI60" i="1" s="1"/>
  <c r="AG46" i="1"/>
  <c r="AS3" i="1"/>
  <c r="BK3" i="1"/>
  <c r="BO3" i="1"/>
  <c r="BM3" i="1"/>
  <c r="BQ3" i="1"/>
  <c r="BP3" i="1"/>
  <c r="AH48" i="1"/>
  <c r="AI48" i="1" s="1"/>
  <c r="BR3" i="1"/>
  <c r="AH71" i="1" l="1"/>
  <c r="AI71" i="1" s="1"/>
  <c r="AH42" i="1"/>
  <c r="AI42" i="1" s="1"/>
  <c r="AH67" i="1"/>
  <c r="AI67" i="1" s="1"/>
  <c r="AH59" i="1"/>
  <c r="AI59" i="1" s="1"/>
  <c r="AH39" i="1"/>
  <c r="AI39" i="1" s="1"/>
  <c r="AH63" i="1"/>
  <c r="AI63" i="1" s="1"/>
  <c r="AH58" i="1"/>
  <c r="AI58" i="1" s="1"/>
  <c r="AH74" i="1"/>
  <c r="AI74" i="1" s="1"/>
  <c r="AH44" i="1"/>
  <c r="AI44" i="1" s="1"/>
  <c r="AH72" i="1"/>
  <c r="AI72" i="1" s="1"/>
  <c r="AH55" i="1"/>
  <c r="AI55" i="1" s="1"/>
  <c r="AH51" i="1"/>
  <c r="AI51" i="1" s="1"/>
  <c r="AH64" i="1"/>
  <c r="AI64" i="1" s="1"/>
  <c r="AH49" i="1"/>
  <c r="AI49" i="1" s="1"/>
  <c r="AH54" i="1"/>
  <c r="AI54" i="1" s="1"/>
  <c r="AJ88" i="1"/>
  <c r="AK102" i="1" s="1"/>
  <c r="AH66" i="1"/>
  <c r="AI66" i="1" s="1"/>
  <c r="AH43" i="1"/>
  <c r="AI43" i="1" s="1"/>
  <c r="AH56" i="1"/>
  <c r="AI56" i="1" s="1"/>
  <c r="AH47" i="1"/>
  <c r="AI47" i="1" s="1"/>
  <c r="AH73" i="1"/>
  <c r="AI73" i="1" s="1"/>
  <c r="AS5" i="1"/>
  <c r="AH57" i="1"/>
  <c r="AI57" i="1" s="1"/>
  <c r="AH41" i="1"/>
  <c r="AI41" i="1" s="1"/>
  <c r="AP19" i="1"/>
  <c r="BI19" i="1" s="1"/>
  <c r="AH68" i="1"/>
  <c r="AI68" i="1" s="1"/>
  <c r="BQ5" i="1"/>
  <c r="BN5" i="1"/>
  <c r="AO19" i="1"/>
  <c r="BB19" i="1" s="1"/>
  <c r="AO18" i="1"/>
  <c r="BB18" i="1" s="1"/>
  <c r="BE18" i="1"/>
  <c r="BG18" i="1"/>
  <c r="BF18" i="1"/>
  <c r="BH18" i="1"/>
  <c r="BM4" i="1"/>
  <c r="BF19" i="1"/>
  <c r="BE19" i="1"/>
  <c r="BG19" i="1"/>
  <c r="BH19" i="1"/>
  <c r="AN5" i="1"/>
  <c r="AQ5" i="1" s="1"/>
  <c r="AR5" i="1"/>
  <c r="AP18" i="1"/>
  <c r="BO4" i="1"/>
  <c r="BP4" i="1"/>
  <c r="AN4" i="1"/>
  <c r="AS4" i="1"/>
  <c r="AR4" i="1"/>
  <c r="AH65" i="1"/>
  <c r="AI65" i="1" s="1"/>
  <c r="AH69" i="1"/>
  <c r="AI69" i="1" s="1"/>
  <c r="AH53" i="1"/>
  <c r="AI53" i="1" s="1"/>
  <c r="AH52" i="1"/>
  <c r="AI52" i="1" s="1"/>
  <c r="AH46" i="1"/>
  <c r="AI46" i="1" s="1"/>
  <c r="BI3" i="1"/>
  <c r="BD3" i="1"/>
  <c r="BH3" i="1"/>
  <c r="BG3" i="1"/>
  <c r="BF3" i="1"/>
  <c r="BE3" i="1"/>
  <c r="BK5" i="1"/>
  <c r="BR4" i="1"/>
  <c r="BQ4" i="1"/>
  <c r="BO5" i="1"/>
  <c r="BR5" i="1"/>
  <c r="BM5" i="1"/>
  <c r="BP5" i="1"/>
  <c r="BL4" i="1"/>
  <c r="BN4" i="1"/>
  <c r="M34" i="1"/>
  <c r="L34" i="1"/>
  <c r="M33" i="1"/>
  <c r="L33" i="1"/>
  <c r="M32" i="1"/>
  <c r="L32" i="1"/>
  <c r="M31" i="1"/>
  <c r="L31" i="1"/>
  <c r="M30" i="1"/>
  <c r="L30" i="1"/>
  <c r="M29" i="1"/>
  <c r="M28" i="1"/>
  <c r="M27" i="1"/>
  <c r="L27" i="1"/>
  <c r="M26" i="1"/>
  <c r="L26" i="1"/>
  <c r="M25" i="1"/>
  <c r="M24" i="1"/>
  <c r="L24" i="1"/>
  <c r="M23" i="1"/>
  <c r="L23" i="1"/>
  <c r="M22" i="1"/>
  <c r="L22" i="1"/>
  <c r="M21" i="1"/>
  <c r="L21" i="1"/>
  <c r="M20" i="1"/>
  <c r="L20" i="1"/>
  <c r="M19" i="1"/>
  <c r="M18" i="1"/>
  <c r="L18" i="1"/>
  <c r="L16" i="1"/>
  <c r="L15" i="1"/>
  <c r="L14" i="1"/>
  <c r="L3" i="1"/>
  <c r="M17" i="1"/>
  <c r="M16" i="1"/>
  <c r="M15" i="1"/>
  <c r="M14" i="1"/>
  <c r="BC18" i="1" l="1"/>
  <c r="BC19" i="1"/>
  <c r="AK88" i="1"/>
  <c r="BM7" i="1"/>
  <c r="AK101" i="1"/>
  <c r="AJ38" i="1"/>
  <c r="AK77" i="1" s="1"/>
  <c r="BE5" i="1"/>
  <c r="AK80" i="1"/>
  <c r="BD19" i="1"/>
  <c r="AK95" i="1"/>
  <c r="AK99" i="1"/>
  <c r="AK94" i="1"/>
  <c r="AK96" i="1"/>
  <c r="AK90" i="1"/>
  <c r="AK100" i="1"/>
  <c r="AK97" i="1"/>
  <c r="AK93" i="1"/>
  <c r="AK98" i="1"/>
  <c r="AK91" i="1"/>
  <c r="AK89" i="1"/>
  <c r="AK92" i="1"/>
  <c r="BI18" i="1"/>
  <c r="BD18" i="1"/>
  <c r="BG5" i="1"/>
  <c r="BH5" i="1"/>
  <c r="BF5" i="1"/>
  <c r="AO5" i="1"/>
  <c r="AP5" i="1"/>
  <c r="AO4" i="1"/>
  <c r="AQ4" i="1"/>
  <c r="AP4" i="1"/>
  <c r="BC3" i="1"/>
  <c r="M13" i="1"/>
  <c r="M12" i="1"/>
  <c r="L12" i="1"/>
  <c r="M11" i="1"/>
  <c r="L11" i="1"/>
  <c r="M10" i="1"/>
  <c r="M9" i="1"/>
  <c r="L9" i="1"/>
  <c r="M8" i="1"/>
  <c r="L8" i="1"/>
  <c r="M7" i="1"/>
  <c r="L7" i="1"/>
  <c r="M6" i="1"/>
  <c r="L6" i="1"/>
  <c r="M5" i="1"/>
  <c r="M4" i="1"/>
  <c r="L4" i="1"/>
  <c r="M3" i="1"/>
  <c r="AK38" i="1" l="1"/>
  <c r="AK81" i="1"/>
  <c r="AK78" i="1"/>
  <c r="AK79" i="1"/>
  <c r="AK82" i="1"/>
  <c r="AK75" i="1"/>
  <c r="AK55" i="1"/>
  <c r="AK71" i="1"/>
  <c r="AK41" i="1"/>
  <c r="BD5" i="1"/>
  <c r="BI5" i="1"/>
  <c r="AK49" i="1"/>
  <c r="AK44" i="1"/>
  <c r="BB5" i="1"/>
  <c r="BC5" i="1"/>
  <c r="AK72" i="1"/>
  <c r="AK60" i="1"/>
  <c r="AK73" i="1"/>
  <c r="AK70" i="1"/>
  <c r="AK45" i="1"/>
  <c r="AK40" i="1"/>
  <c r="AK51" i="1"/>
  <c r="AK42" i="1"/>
  <c r="AK66" i="1"/>
  <c r="AK67" i="1"/>
  <c r="AK74" i="1"/>
  <c r="AK61" i="1"/>
  <c r="AK56" i="1"/>
  <c r="AK43" i="1"/>
  <c r="AK63" i="1"/>
  <c r="AK53" i="1"/>
  <c r="AK76" i="1"/>
  <c r="AK59" i="1"/>
  <c r="AK69" i="1"/>
  <c r="AK46" i="1"/>
  <c r="AK64" i="1"/>
  <c r="AK65" i="1"/>
  <c r="AK62" i="1"/>
  <c r="AK68" i="1"/>
  <c r="AK48" i="1"/>
  <c r="AK39" i="1"/>
  <c r="BI4" i="1"/>
  <c r="BD4" i="1"/>
  <c r="BE4" i="1"/>
  <c r="BG4" i="1"/>
  <c r="BF4" i="1"/>
  <c r="BH4" i="1"/>
  <c r="BC4" i="1"/>
  <c r="BB4" i="1"/>
</calcChain>
</file>

<file path=xl/sharedStrings.xml><?xml version="1.0" encoding="utf-8"?>
<sst xmlns="http://schemas.openxmlformats.org/spreadsheetml/2006/main" count="1603" uniqueCount="411">
  <si>
    <t>trip_id</t>
  </si>
  <si>
    <t>agent_id</t>
  </si>
  <si>
    <t>day</t>
  </si>
  <si>
    <t>trip_start_time</t>
  </si>
  <si>
    <t>trip_duration</t>
  </si>
  <si>
    <t>trip_transport_mode</t>
  </si>
  <si>
    <t>trip_origin</t>
  </si>
  <si>
    <t>3036XP</t>
  </si>
  <si>
    <t>2595DA</t>
  </si>
  <si>
    <t>Fiets-OV-Lopen</t>
  </si>
  <si>
    <t>Lopen-OV-Lopen</t>
  </si>
  <si>
    <t>2552HE</t>
  </si>
  <si>
    <t>Lopen-OV-Fiets</t>
  </si>
  <si>
    <t>Fiets</t>
  </si>
  <si>
    <t>2498CA</t>
  </si>
  <si>
    <t>2611RV</t>
  </si>
  <si>
    <t>2616LK</t>
  </si>
  <si>
    <t>Auto-OV-Lopen</t>
  </si>
  <si>
    <t>3329BA</t>
  </si>
  <si>
    <t>2513AH</t>
  </si>
  <si>
    <t>Lopen</t>
  </si>
  <si>
    <t>Lopen-OV-Auto</t>
  </si>
  <si>
    <t>activity_id</t>
  </si>
  <si>
    <t>activity_type</t>
  </si>
  <si>
    <t>activity_location</t>
  </si>
  <si>
    <t>Werk</t>
  </si>
  <si>
    <t>Visite</t>
  </si>
  <si>
    <t>Thuis</t>
  </si>
  <si>
    <t>Zakelijk</t>
  </si>
  <si>
    <t>Sport</t>
  </si>
  <si>
    <t>activity_start_time (hh:mm)</t>
  </si>
  <si>
    <t>activity_duration (hh:mm)</t>
  </si>
  <si>
    <t>Postcode</t>
  </si>
  <si>
    <t>Own mode required</t>
  </si>
  <si>
    <t>Private car</t>
  </si>
  <si>
    <t>Main mode</t>
  </si>
  <si>
    <t>Car</t>
  </si>
  <si>
    <t>Public transport</t>
  </si>
  <si>
    <t>Bike</t>
  </si>
  <si>
    <t>Walking</t>
  </si>
  <si>
    <t>ID</t>
  </si>
  <si>
    <t>Level 2 mode</t>
  </si>
  <si>
    <t>Level 3 mode</t>
  </si>
  <si>
    <t>Private bike</t>
  </si>
  <si>
    <t>Shared car</t>
  </si>
  <si>
    <t>P2P</t>
  </si>
  <si>
    <t xml:space="preserve">Bike </t>
  </si>
  <si>
    <t>Shared bike</t>
  </si>
  <si>
    <t>Train/BTM</t>
  </si>
  <si>
    <t>Restricties</t>
  </si>
  <si>
    <t>Mode toegestaan in scenario</t>
  </si>
  <si>
    <t>Persoon bezit mode (alleen voor modes waar dat vereist is)</t>
  </si>
  <si>
    <t>Locatie heeft deelconcepten beschikbaar</t>
  </si>
  <si>
    <t>Mode beschikbaar in tour</t>
  </si>
  <si>
    <t>Voldoende reistijd</t>
  </si>
  <si>
    <t>destination zones with possible modes</t>
  </si>
  <si>
    <t>L</t>
  </si>
  <si>
    <t>lopen (walk)</t>
  </si>
  <si>
    <t>C</t>
  </si>
  <si>
    <t>car</t>
  </si>
  <si>
    <t>S</t>
  </si>
  <si>
    <t>shuttle bus</t>
  </si>
  <si>
    <t>B</t>
  </si>
  <si>
    <t>shared Van</t>
  </si>
  <si>
    <t>shared bus (8 ~ 10 persons) circuling in a limited area</t>
  </si>
  <si>
    <t>peer 2 peer</t>
  </si>
  <si>
    <t>allowed</t>
  </si>
  <si>
    <t>MaaS_subscription</t>
  </si>
  <si>
    <t>MaaS subscription</t>
  </si>
  <si>
    <t>location_id</t>
  </si>
  <si>
    <t>werk</t>
  </si>
  <si>
    <t>werk afspraak</t>
  </si>
  <si>
    <t>thuis</t>
  </si>
  <si>
    <t>eten</t>
  </si>
  <si>
    <t>CAR</t>
  </si>
  <si>
    <t>WALK</t>
  </si>
  <si>
    <t>BIKE</t>
  </si>
  <si>
    <t>EBIKE</t>
  </si>
  <si>
    <t>tour_id</t>
  </si>
  <si>
    <t>shop</t>
  </si>
  <si>
    <t>escort</t>
  </si>
  <si>
    <t>station-based</t>
  </si>
  <si>
    <t>assume there are enough bikes or cars to shared</t>
  </si>
  <si>
    <t>RIDESHR</t>
  </si>
  <si>
    <t>CARSHR</t>
  </si>
  <si>
    <t>Shared car (free floating)</t>
  </si>
  <si>
    <t>Shared car(taxi)</t>
  </si>
  <si>
    <t>RH</t>
  </si>
  <si>
    <t>BIKESHR</t>
  </si>
  <si>
    <t>WALK_PT_WALK</t>
  </si>
  <si>
    <t>WALK_PT_BIKE</t>
  </si>
  <si>
    <t>WALK_PT_BIKESHR</t>
  </si>
  <si>
    <t>WALK_PT_CAR</t>
  </si>
  <si>
    <t>BIKE_PT_WALK</t>
  </si>
  <si>
    <t>WALK_PT_CARSHR</t>
  </si>
  <si>
    <t>WALK_PT_RIDESHR</t>
  </si>
  <si>
    <t>WALK_PT_RH</t>
  </si>
  <si>
    <t>BIKE_PT_BIKESHR</t>
  </si>
  <si>
    <t>BIKE_PT_CARSHR</t>
  </si>
  <si>
    <t>BIKE_PT_RIDESHR</t>
  </si>
  <si>
    <t>BIKE_PT_RH</t>
  </si>
  <si>
    <t>BIKESHR_PT_WALK</t>
  </si>
  <si>
    <t>BIKESHR_PT_BIKE</t>
  </si>
  <si>
    <t>BIKESHR_PT_BIKESHR</t>
  </si>
  <si>
    <t>BIKESHR_PT_CAR</t>
  </si>
  <si>
    <t>BIKESHR_PT_CARSHR</t>
  </si>
  <si>
    <t>BIKESHR_PT_RIDESHR</t>
  </si>
  <si>
    <t>BIKESHR_PT_RH</t>
  </si>
  <si>
    <t>CAR_PT_WALK</t>
  </si>
  <si>
    <t>CAR_PT_BIKESHR</t>
  </si>
  <si>
    <t>CAR_PT_CARSHR</t>
  </si>
  <si>
    <t>CAR_PT_RIDESHR</t>
  </si>
  <si>
    <t>CAR_PT_RH</t>
  </si>
  <si>
    <t>CARSHR_PT_WALK</t>
  </si>
  <si>
    <t>CARSHR_PT_BIKE</t>
  </si>
  <si>
    <t>CARSHR_PT_BIKESHR</t>
  </si>
  <si>
    <t>CARSHR_PT_CAR</t>
  </si>
  <si>
    <t>CARSHR_PT_CARSHR</t>
  </si>
  <si>
    <t>CARSHR_PT_RIDESHR</t>
  </si>
  <si>
    <t>CARSHR_PT_RH</t>
  </si>
  <si>
    <t>RH_PT_WALK</t>
  </si>
  <si>
    <t>RH_PT_BIKE</t>
  </si>
  <si>
    <t>RH_PT_BIKESHR</t>
  </si>
  <si>
    <t>RH_PT_CAR</t>
  </si>
  <si>
    <t>RH_PT_CARSHR</t>
  </si>
  <si>
    <t>RH_PT_RIDESHR</t>
  </si>
  <si>
    <t>RH_PT_RH</t>
  </si>
  <si>
    <t>RIDESHR_PT_WALK</t>
  </si>
  <si>
    <t>RIDESHR_PT_BIKE</t>
  </si>
  <si>
    <t>RIDESHR_PT_BIKESHR</t>
  </si>
  <si>
    <t>RIDESHR_PT_CAR</t>
  </si>
  <si>
    <t>RIDESHR_PT_CARSHR</t>
  </si>
  <si>
    <t>RIDESHR_PT_RIDESHR</t>
  </si>
  <si>
    <t>RIDESHR_PT_RH</t>
  </si>
  <si>
    <t>car_allowed</t>
  </si>
  <si>
    <t>bike_allowed</t>
  </si>
  <si>
    <t>carshr_service_available</t>
  </si>
  <si>
    <t>bikeshr_service_available</t>
  </si>
  <si>
    <t>tt_walk</t>
  </si>
  <si>
    <t>tt_bike</t>
  </si>
  <si>
    <t>dist_walk</t>
  </si>
  <si>
    <t>dist_bike</t>
  </si>
  <si>
    <t>dist_car</t>
  </si>
  <si>
    <t>passengier</t>
  </si>
  <si>
    <t>bike</t>
  </si>
  <si>
    <t>wptw</t>
  </si>
  <si>
    <t>wptb</t>
  </si>
  <si>
    <t>bptw</t>
  </si>
  <si>
    <t>bptb</t>
  </si>
  <si>
    <t>walk</t>
  </si>
  <si>
    <t>onderwijs</t>
  </si>
  <si>
    <t>winkel</t>
  </si>
  <si>
    <t>zakelijk</t>
  </si>
  <si>
    <t>ASC</t>
  </si>
  <si>
    <t xml:space="preserve">hh_composition2 </t>
  </si>
  <si>
    <t>hh_nr_of_cars1</t>
  </si>
  <si>
    <t>reistijd</t>
  </si>
  <si>
    <t>age_peson3 (25-45)</t>
  </si>
  <si>
    <t>gender (1=man)</t>
  </si>
  <si>
    <t>o_d_equal (0 = interzonaal)</t>
  </si>
  <si>
    <t>hh_income3 (&gt;p80)</t>
  </si>
  <si>
    <t>hh_nr_of_cars3</t>
  </si>
  <si>
    <t>tt_car (min)</t>
  </si>
  <si>
    <t>paid_work3 (&gt; 30 uur)</t>
  </si>
  <si>
    <t>education2
(Lager beroepsonderwijs)</t>
  </si>
  <si>
    <t>education4 (HBO, WO)</t>
  </si>
  <si>
    <t>activity_afhalen</t>
  </si>
  <si>
    <t>tt_wptb</t>
  </si>
  <si>
    <t>tt_bptw</t>
  </si>
  <si>
    <t>tt_bptb</t>
  </si>
  <si>
    <t>tt_wptw</t>
  </si>
  <si>
    <t>rideshr</t>
  </si>
  <si>
    <t>walk_pt_walk</t>
  </si>
  <si>
    <t>bike_pt_walk</t>
  </si>
  <si>
    <t>walk_pt_bike</t>
  </si>
  <si>
    <t>bike_pt_bikeshr</t>
  </si>
  <si>
    <t>trips_modes</t>
  </si>
  <si>
    <t>attributes</t>
  </si>
  <si>
    <t>U_Total</t>
  </si>
  <si>
    <t>P_car</t>
  </si>
  <si>
    <t>P_rideshr</t>
  </si>
  <si>
    <t>p_bike</t>
  </si>
  <si>
    <t>p_wptw</t>
  </si>
  <si>
    <t>p_wptb</t>
  </si>
  <si>
    <t>p_bptw</t>
  </si>
  <si>
    <t>p_bptb</t>
  </si>
  <si>
    <t>p_walk</t>
  </si>
  <si>
    <t>SUM_EXP</t>
  </si>
  <si>
    <t>SUM_exp</t>
  </si>
  <si>
    <t>Prob</t>
  </si>
  <si>
    <t>betas used by FEATHERS</t>
  </si>
  <si>
    <t>trip_dest</t>
  </si>
  <si>
    <t>hh_nr_of_cars0</t>
  </si>
  <si>
    <t>P_car|drive</t>
  </si>
  <si>
    <t>P_drive</t>
  </si>
  <si>
    <t>exp_drive</t>
  </si>
  <si>
    <t>exp_nonmotor</t>
  </si>
  <si>
    <t>exp_transit</t>
  </si>
  <si>
    <t>P_nonmotor</t>
  </si>
  <si>
    <t>P_transit</t>
  </si>
  <si>
    <t>P_car|rideshr</t>
  </si>
  <si>
    <t>P_walk|NM</t>
  </si>
  <si>
    <t>P_bike|NM</t>
  </si>
  <si>
    <t>p_wptw|walkAcc</t>
  </si>
  <si>
    <t>p_wptb|walkAcc</t>
  </si>
  <si>
    <t>p_bptw|bikeAcc</t>
  </si>
  <si>
    <t>p_bptb|bikeAcc</t>
  </si>
  <si>
    <t>MNL</t>
  </si>
  <si>
    <t>P_walkAcc|Transit</t>
  </si>
  <si>
    <t>P_bikeAcc|transit</t>
  </si>
  <si>
    <t>tour_id
 (2 trips)</t>
  </si>
  <si>
    <t>tour_id
(3 trips)</t>
  </si>
  <si>
    <t>exp_PT_walkAcc</t>
  </si>
  <si>
    <t>exp_PT_bikeAcc</t>
  </si>
  <si>
    <t>exp(U_total)</t>
  </si>
  <si>
    <t>tour</t>
  </si>
  <si>
    <t>trip</t>
  </si>
  <si>
    <t>trip 1 mode</t>
  </si>
  <si>
    <t>trip 2 mode</t>
  </si>
  <si>
    <t>trip 3 mode</t>
  </si>
  <si>
    <t>Util_car</t>
  </si>
  <si>
    <t>Util_rideshr</t>
  </si>
  <si>
    <t>Util_bike</t>
  </si>
  <si>
    <t>Util_walk_pt_walk</t>
  </si>
  <si>
    <t>Util_walk_pt_bike</t>
  </si>
  <si>
    <t>Util_bike_pt_walk</t>
  </si>
  <si>
    <t>Util_bike_pt_bikeshr</t>
  </si>
  <si>
    <t>Util_walk</t>
  </si>
  <si>
    <t>Car Passenger</t>
  </si>
  <si>
    <t>CP</t>
  </si>
  <si>
    <t>CP_PT_WALK</t>
  </si>
  <si>
    <t>CP_PT_BIKE</t>
  </si>
  <si>
    <t>BIKE_PT_BIKE</t>
  </si>
  <si>
    <t>bike_pt_bike</t>
  </si>
  <si>
    <t>cp</t>
  </si>
  <si>
    <t>CAR_PT_BIKE</t>
  </si>
  <si>
    <t>BIKE_PT_CAR</t>
  </si>
  <si>
    <t>education3</t>
  </si>
  <si>
    <t>hh_composition3</t>
  </si>
  <si>
    <t>hh_nr_of_cars2</t>
  </si>
  <si>
    <t>hh_income2</t>
  </si>
  <si>
    <t>paid_work1</t>
  </si>
  <si>
    <t>paid_work2</t>
  </si>
  <si>
    <t>sted_o1</t>
  </si>
  <si>
    <t>sted_o2</t>
  </si>
  <si>
    <t>sted_o3</t>
  </si>
  <si>
    <t>sted_o4</t>
  </si>
  <si>
    <t>sted_d2</t>
  </si>
  <si>
    <t>sted_d3</t>
  </si>
  <si>
    <t>sted_d4</t>
  </si>
  <si>
    <t>roots_person2(migratieacthergrond)</t>
  </si>
  <si>
    <t>sted_d1 (stedelijkheidsgraad 1)</t>
  </si>
  <si>
    <t>age_peson2 (klasse 2)</t>
  </si>
  <si>
    <t>age_peson4 (klasse 4)</t>
  </si>
  <si>
    <t>age_peson5 (klasse 5)</t>
  </si>
  <si>
    <t>DRT</t>
  </si>
  <si>
    <t>Prive</t>
  </si>
  <si>
    <t>shared prive</t>
  </si>
  <si>
    <t>micro 15km/h</t>
  </si>
  <si>
    <t>micro 25km/h</t>
  </si>
  <si>
    <t>shared on-demand</t>
  </si>
  <si>
    <t>micro 5km/h</t>
  </si>
  <si>
    <t>WALK_CAR_BIKE</t>
  </si>
  <si>
    <t>WALK_CP_BIKE</t>
  </si>
  <si>
    <t>WALK_DRT_BIKE</t>
  </si>
  <si>
    <t>WALK_CAR_EBIKE</t>
  </si>
  <si>
    <t>WALK_CP_EBIKE</t>
  </si>
  <si>
    <t>WALK_DRT_EBIKE</t>
  </si>
  <si>
    <t>WALK_CAR_DRT</t>
  </si>
  <si>
    <t>WALK_CP_DRT</t>
  </si>
  <si>
    <t>BIKE_CAR_WALK</t>
  </si>
  <si>
    <t>BIKE_CP_WALK</t>
  </si>
  <si>
    <t>BIKE_DRT_WALK</t>
  </si>
  <si>
    <t>EBIKE_CAR_WALK</t>
  </si>
  <si>
    <t>EBIKE_CP_WALK</t>
  </si>
  <si>
    <t>EBIKE_DRT_WALK</t>
  </si>
  <si>
    <t>DRT_CAR_WALK</t>
  </si>
  <si>
    <t>DRT_CP_WALK</t>
  </si>
  <si>
    <t>PT_CAR_WALK</t>
  </si>
  <si>
    <t>PT_CP_WALK</t>
  </si>
  <si>
    <t>SHARED EBIKE</t>
  </si>
  <si>
    <t>depends on the person vehicle ownership, it can be private car or car-shr</t>
  </si>
  <si>
    <t>depends on the person vehicle ownership, it can be private ebike or ebike-shr</t>
  </si>
  <si>
    <r>
      <t xml:space="preserve">depends on the person vehicle ownership, it can be </t>
    </r>
    <r>
      <rPr>
        <b/>
        <sz val="11"/>
        <color theme="1"/>
        <rFont val="Calibri"/>
        <family val="2"/>
        <scheme val="minor"/>
      </rPr>
      <t>private bike or bike-shr</t>
    </r>
  </si>
  <si>
    <t>Category</t>
  </si>
  <si>
    <r>
      <t xml:space="preserve">If agent owns a car, it is Private-CAR. 
If agent </t>
    </r>
    <r>
      <rPr>
        <b/>
        <sz val="11"/>
        <color theme="1"/>
        <rFont val="Calibri"/>
        <family val="2"/>
        <scheme val="minor"/>
      </rPr>
      <t xml:space="preserve">does not own </t>
    </r>
    <r>
      <rPr>
        <sz val="11"/>
        <color theme="1"/>
        <rFont val="Calibri"/>
        <family val="2"/>
        <scheme val="minor"/>
      </rPr>
      <t xml:space="preserve">a car and </t>
    </r>
    <r>
      <rPr>
        <b/>
        <sz val="11"/>
        <color theme="1"/>
        <rFont val="Calibri"/>
        <family val="2"/>
        <scheme val="minor"/>
      </rPr>
      <t>willing to share</t>
    </r>
    <r>
      <rPr>
        <sz val="11"/>
        <color theme="1"/>
        <rFont val="Calibri"/>
        <family val="2"/>
        <scheme val="minor"/>
      </rPr>
      <t>, it is car-sharing</t>
    </r>
  </si>
  <si>
    <t>Hub</t>
  </si>
  <si>
    <t>hub</t>
  </si>
  <si>
    <t>outbound</t>
  </si>
  <si>
    <t>inbound</t>
  </si>
  <si>
    <t>HUB</t>
  </si>
  <si>
    <t>household_id</t>
  </si>
  <si>
    <t>age_person</t>
  </si>
  <si>
    <t>gender</t>
  </si>
  <si>
    <t>roots_person</t>
  </si>
  <si>
    <t>driving_license</t>
  </si>
  <si>
    <t>paid_work</t>
  </si>
  <si>
    <t>education</t>
  </si>
  <si>
    <t>student_pt</t>
  </si>
  <si>
    <t>autobezit</t>
  </si>
  <si>
    <t>fietsbezit</t>
  </si>
  <si>
    <t>electricBike</t>
  </si>
  <si>
    <t>tw45 bezit</t>
  </si>
  <si>
    <t>deelfietsabonnement</t>
  </si>
  <si>
    <t>maasabonnement</t>
  </si>
  <si>
    <t>Trip index</t>
  </si>
  <si>
    <t>Agent</t>
  </si>
  <si>
    <t>tour id</t>
  </si>
  <si>
    <t>depart</t>
  </si>
  <si>
    <t>duration</t>
  </si>
  <si>
    <t>PT</t>
  </si>
  <si>
    <t>origin</t>
  </si>
  <si>
    <t>destination</t>
  </si>
  <si>
    <t>agent</t>
  </si>
  <si>
    <t>…</t>
  </si>
  <si>
    <t>Total_Utility</t>
  </si>
  <si>
    <t>walk-car-bike</t>
  </si>
  <si>
    <t>bike-car-walk</t>
  </si>
  <si>
    <t>..</t>
  </si>
  <si>
    <t>U1_walk-car-bike</t>
  </si>
  <si>
    <t>U2_bike</t>
  </si>
  <si>
    <t>U3_bike-car-walk</t>
  </si>
  <si>
    <t>choice_idx</t>
  </si>
  <si>
    <t>eliminate unavailable combinations, such as modal requires car but agent has no car or no driving licence. It is better do here instead of in the Utility function, where we make sure this mode won't be possible!!</t>
  </si>
  <si>
    <t>Steps on how to make access/egress mode with known main mode</t>
  </si>
  <si>
    <r>
      <t xml:space="preserve">Precalculated valid mode combinations for tours with 2, 3, 4, 5 or 6 trips and trips with 1 subtour, save in a </t>
    </r>
    <r>
      <rPr>
        <b/>
        <sz val="11"/>
        <color theme="1"/>
        <rFont val="Calibri"/>
        <family val="2"/>
        <scheme val="minor"/>
      </rPr>
      <t>HDF5</t>
    </r>
    <r>
      <rPr>
        <sz val="11"/>
        <color theme="1"/>
        <rFont val="Calibri"/>
        <family val="2"/>
        <scheme val="minor"/>
      </rPr>
      <t xml:space="preserve"> file.  (per type of tour)</t>
    </r>
  </si>
  <si>
    <t>tour_type</t>
  </si>
  <si>
    <t>trip_count</t>
  </si>
  <si>
    <t>visite</t>
  </si>
  <si>
    <t>other</t>
  </si>
  <si>
    <t>2_trips</t>
  </si>
  <si>
    <t>3_trips</t>
  </si>
  <si>
    <t>4_trips</t>
  </si>
  <si>
    <t>5_trips</t>
  </si>
  <si>
    <t>4_trips_subtour_from_2nd</t>
  </si>
  <si>
    <t>maas_subscription</t>
  </si>
  <si>
    <r>
      <rPr>
        <b/>
        <sz val="11"/>
        <color rgb="FFFF0000"/>
        <rFont val="Calibri"/>
        <family val="2"/>
        <scheme val="minor"/>
      </rPr>
      <t>ONLY THESE 2 options: Car- Bike or</t>
    </r>
    <r>
      <rPr>
        <sz val="11"/>
        <color rgb="FFFF0000"/>
        <rFont val="Calibri"/>
        <family val="2"/>
        <scheme val="minor"/>
      </rPr>
      <t xml:space="preserve">  </t>
    </r>
    <r>
      <rPr>
        <b/>
        <sz val="11"/>
        <color rgb="FFFF0000"/>
        <rFont val="Calibri"/>
        <family val="2"/>
        <scheme val="minor"/>
      </rPr>
      <t>CarShr - BikeShr</t>
    </r>
  </si>
  <si>
    <t>step 0</t>
  </si>
  <si>
    <t>step 1</t>
  </si>
  <si>
    <t>step 3. Sum up Utility for each multi-modal mode</t>
  </si>
  <si>
    <t>step 4. load the pre-calculated valid mode combinations (where mode consistency check is performed)</t>
  </si>
  <si>
    <t>step 5</t>
  </si>
  <si>
    <t>step 6</t>
  </si>
  <si>
    <t>step 7</t>
  </si>
  <si>
    <t>NAME</t>
  </si>
  <si>
    <t>legacy column</t>
  </si>
  <si>
    <t>get the number of trips per tour per agent</t>
  </si>
  <si>
    <t>load all the valid mode combination pre-calculated in step 0</t>
  </si>
  <si>
    <t>U_multimodal1</t>
  </si>
  <si>
    <t>U_multimodal2</t>
  </si>
  <si>
    <t>U_multimodal3</t>
  </si>
  <si>
    <t>U_multimodalN</t>
  </si>
  <si>
    <t>WALK_CAR_BIKE_M</t>
  </si>
  <si>
    <t>WALK_CAR_BIKE_EGR</t>
  </si>
  <si>
    <t>WALK_CAR_BIKE_ACC</t>
  </si>
  <si>
    <t>WALK_CP_BIKE_ACC</t>
  </si>
  <si>
    <t>WALK_CP_BIKE_M</t>
  </si>
  <si>
    <t>WALK_CP_BIKE_EGR</t>
  </si>
  <si>
    <t>WALK_DRT_BIKE_ACC</t>
  </si>
  <si>
    <t>WALK_DRT_BIKE_M</t>
  </si>
  <si>
    <t>WALK_DRT_BIKE_EGR</t>
  </si>
  <si>
    <t>…...</t>
  </si>
  <si>
    <t>trip mode</t>
  </si>
  <si>
    <t>calculte Utilities using existed Asim functions, such as expression evalulation, matrix-matrix multiplication.. After calculation, the dataFrame will look like this as below:</t>
  </si>
  <si>
    <t>(this table only shows one tour of one agent)</t>
  </si>
  <si>
    <t>walk_PT_walk</t>
  </si>
  <si>
    <t>1</t>
  </si>
  <si>
    <t>K</t>
  </si>
  <si>
    <t>U1_walk</t>
  </si>
  <si>
    <t>U2_walk</t>
  </si>
  <si>
    <t>U3_walk</t>
  </si>
  <si>
    <t>U1_walk_pt_walk</t>
  </si>
  <si>
    <t>U2_walk_pt_walk</t>
  </si>
  <si>
    <t>U3_walk_pt_walk</t>
  </si>
  <si>
    <t>get the utility calculated in step 3, sum the utility of each trip to get the total utility per tour</t>
  </si>
  <si>
    <t xml:space="preserve"> make 1 choice from K choice set using MNL</t>
  </si>
  <si>
    <t>why so many utility? Utility of walk in walk-car-bike different from utility of walk in walk-pt-bike</t>
  </si>
  <si>
    <t>How about car-pt-bike?</t>
  </si>
  <si>
    <t>7 modes, where ownership applies for car,bike and ebike, there are 2^3 = 8 kinds of mode availabilities. Each mode availability, generate combinations for each tour type)</t>
  </si>
  <si>
    <t>How to deal with the 7 unimodal? Ans: Consider them using walk as access and egress.</t>
  </si>
  <si>
    <t>PRE PROCESS THE SKIMS EXPORTED FROM OmniTrans</t>
  </si>
  <si>
    <t>make a list all multimodal whose LOS are possible</t>
  </si>
  <si>
    <t>generate for each multimodal, the LOS skims for Access, main and Egress</t>
  </si>
  <si>
    <t>save in OMX format which used by Asim</t>
  </si>
  <si>
    <t>WALK_CAR_PT</t>
  </si>
  <si>
    <t>allowed_ORI</t>
  </si>
  <si>
    <t>allowed_14modes</t>
  </si>
  <si>
    <t>Combinations</t>
  </si>
  <si>
    <t>ACCESS</t>
  </si>
  <si>
    <t>MAIN</t>
  </si>
  <si>
    <t>EGRESS</t>
  </si>
  <si>
    <t>Possible - Outbound</t>
  </si>
  <si>
    <t>Possible - Inbound</t>
  </si>
  <si>
    <t>YES</t>
  </si>
  <si>
    <t>NO</t>
  </si>
  <si>
    <t>COUNT YES</t>
  </si>
  <si>
    <t>COUNT NO</t>
  </si>
  <si>
    <t>Comments</t>
  </si>
  <si>
    <t>car not possible to be used as egress in an outbound trip</t>
  </si>
  <si>
    <t>CarP not possible to be used as egress in an outbound trip</t>
  </si>
  <si>
    <t>Bike can be parked at a hub</t>
  </si>
  <si>
    <t>CP not possible as egress if you are in the car with family member</t>
  </si>
  <si>
    <t>LOS</t>
  </si>
  <si>
    <t>should they be equal?</t>
  </si>
  <si>
    <t>WALK_CP_PT</t>
  </si>
  <si>
    <t>allowed-DEPRECATED</t>
  </si>
  <si>
    <t>has_car</t>
  </si>
  <si>
    <t>has_bike</t>
  </si>
  <si>
    <t>has_ebike</t>
  </si>
  <si>
    <t>PT_DRT_WALK</t>
  </si>
  <si>
    <t>WALK_DRT_PT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</si>
</sst>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400]h:mm:ss\ AM/PM"/>
  </numFmts>
  <fonts count="15">
    <font>
      <sz val="11"/>
      <color theme="1"/>
      <name val="Calibri"/>
      <family val="2"/>
      <scheme val="minor"/>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0"/>
      <color rgb="FF008000"/>
      <name val="Source Code Pro"/>
    </font>
    <font>
      <b/>
      <sz val="11"/>
      <color rgb="FFFF0000"/>
      <name val="Calibri"/>
      <family val="2"/>
      <scheme val="minor"/>
    </font>
    <font>
      <b/>
      <sz val="11"/>
      <name val="Calibri"/>
      <family val="2"/>
      <scheme val="minor"/>
    </font>
    <font>
      <strike/>
      <sz val="11"/>
      <name val="Calibri"/>
      <family val="2"/>
      <scheme val="minor"/>
    </font>
    <font>
      <sz val="11"/>
      <color rgb="FF00B050"/>
      <name val="Calibri"/>
      <family val="2"/>
      <scheme val="minor"/>
    </font>
    <font>
      <sz val="11"/>
      <color rgb="FF0070C0"/>
      <name val="Calibri"/>
      <family val="2"/>
      <scheme val="minor"/>
    </font>
    <font>
      <strike/>
      <sz val="11"/>
      <color theme="1"/>
      <name val="Calibri"/>
      <family val="2"/>
      <scheme val="minor"/>
    </font>
    <font>
      <b/>
      <i/>
      <sz val="10"/>
      <color rgb="FF660E7A"/>
      <name val="Source Code Pro"/>
    </font>
    <font>
      <b/>
      <strike/>
      <sz val="11"/>
      <name val="Calibri"/>
      <family val="2"/>
      <scheme val="minor"/>
    </font>
    <font>
      <b/>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theme="7"/>
        <bgColor indexed="64"/>
      </patternFill>
    </fill>
    <fill>
      <patternFill patternType="solid">
        <fgColor theme="4"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solid">
        <fgColor rgb="FF00B0F0"/>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FFFF"/>
        <bgColor indexed="64"/>
      </patternFill>
    </fill>
    <fill>
      <patternFill patternType="solid">
        <fgColor rgb="FFFFC000"/>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2"/>
        <bgColor indexed="64"/>
      </patternFill>
    </fill>
    <fill>
      <patternFill patternType="solid">
        <fgColor theme="5"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4" fillId="0" borderId="0" applyFont="0" applyFill="0" applyBorder="0" applyAlignment="0" applyProtection="0"/>
  </cellStyleXfs>
  <cellXfs count="100">
    <xf numFmtId="0" fontId="0" fillId="0" borderId="0" xfId="0"/>
    <xf numFmtId="0" fontId="1" fillId="0" borderId="0" xfId="0" applyFont="1"/>
    <xf numFmtId="20" fontId="0" fillId="0" borderId="0" xfId="0" applyNumberFormat="1"/>
    <xf numFmtId="0" fontId="0" fillId="2" borderId="0" xfId="0" applyFill="1"/>
    <xf numFmtId="0" fontId="0" fillId="0" borderId="0" xfId="0" applyFont="1"/>
    <xf numFmtId="0" fontId="0" fillId="3" borderId="0" xfId="0" applyFill="1"/>
    <xf numFmtId="0" fontId="0" fillId="4" borderId="0" xfId="0" applyFill="1"/>
    <xf numFmtId="0" fontId="0" fillId="5" borderId="0" xfId="0" applyFill="1"/>
    <xf numFmtId="20" fontId="0" fillId="5" borderId="0" xfId="0" applyNumberFormat="1" applyFill="1"/>
    <xf numFmtId="0" fontId="0" fillId="7" borderId="0" xfId="0" applyFill="1"/>
    <xf numFmtId="20" fontId="0" fillId="7" borderId="0" xfId="0" applyNumberFormat="1" applyFill="1"/>
    <xf numFmtId="0" fontId="0" fillId="8" borderId="0" xfId="0" applyFill="1"/>
    <xf numFmtId="0" fontId="2" fillId="0" borderId="0" xfId="0" applyFont="1"/>
    <xf numFmtId="0" fontId="0" fillId="9" borderId="0" xfId="0" applyFill="1"/>
    <xf numFmtId="20" fontId="0" fillId="9" borderId="0" xfId="0" applyNumberFormat="1" applyFill="1"/>
    <xf numFmtId="0" fontId="0" fillId="0" borderId="0" xfId="0" applyFill="1"/>
    <xf numFmtId="0" fontId="3" fillId="0" borderId="0" xfId="0" applyFont="1"/>
    <xf numFmtId="0" fontId="0" fillId="0" borderId="0" xfId="0" quotePrefix="1"/>
    <xf numFmtId="0" fontId="0" fillId="0" borderId="0" xfId="0" applyAlignment="1">
      <alignment wrapText="1"/>
    </xf>
    <xf numFmtId="0" fontId="3" fillId="2" borderId="0" xfId="0" applyFont="1" applyFill="1"/>
    <xf numFmtId="0" fontId="3" fillId="10" borderId="0" xfId="0" applyFont="1" applyFill="1"/>
    <xf numFmtId="0" fontId="3" fillId="0" borderId="0" xfId="0" applyFont="1" applyFill="1"/>
    <xf numFmtId="0" fontId="1" fillId="2" borderId="0" xfId="0" applyFont="1" applyFill="1"/>
    <xf numFmtId="0" fontId="5" fillId="0" borderId="0" xfId="0" applyFont="1" applyAlignment="1">
      <alignment vertical="center"/>
    </xf>
    <xf numFmtId="0" fontId="5" fillId="11" borderId="0" xfId="0" applyFont="1" applyFill="1" applyAlignment="1">
      <alignment vertical="center"/>
    </xf>
    <xf numFmtId="10" fontId="0" fillId="0" borderId="0" xfId="1" applyNumberFormat="1" applyFont="1"/>
    <xf numFmtId="0" fontId="1" fillId="12" borderId="0" xfId="0" applyFont="1" applyFill="1"/>
    <xf numFmtId="0" fontId="6" fillId="2" borderId="0" xfId="0" applyFont="1" applyFill="1"/>
    <xf numFmtId="20" fontId="0" fillId="0" borderId="0" xfId="0" applyNumberFormat="1" applyFill="1"/>
    <xf numFmtId="0" fontId="1" fillId="6" borderId="1" xfId="0" applyFont="1" applyFill="1" applyBorder="1" applyAlignment="1">
      <alignment horizontal="center"/>
    </xf>
    <xf numFmtId="0" fontId="0" fillId="6" borderId="1" xfId="0" applyFill="1" applyBorder="1"/>
    <xf numFmtId="0" fontId="0" fillId="6" borderId="1" xfId="0" applyFill="1" applyBorder="1" applyAlignment="1">
      <alignment wrapText="1"/>
    </xf>
    <xf numFmtId="0" fontId="0" fillId="6" borderId="2" xfId="0" applyFill="1" applyBorder="1"/>
    <xf numFmtId="0" fontId="1" fillId="0" borderId="0" xfId="0" applyFont="1" applyAlignment="1">
      <alignment horizontal="center"/>
    </xf>
    <xf numFmtId="0" fontId="6" fillId="0" borderId="0" xfId="0" applyFont="1" applyAlignment="1">
      <alignment horizontal="center"/>
    </xf>
    <xf numFmtId="164" fontId="0" fillId="0" borderId="0" xfId="1" applyNumberFormat="1" applyFont="1"/>
    <xf numFmtId="10" fontId="0" fillId="12" borderId="0" xfId="1" applyNumberFormat="1" applyFont="1" applyFill="1"/>
    <xf numFmtId="0" fontId="0" fillId="12" borderId="0" xfId="0" applyFill="1" applyAlignment="1">
      <alignment horizontal="center"/>
    </xf>
    <xf numFmtId="10" fontId="0" fillId="8" borderId="0" xfId="1" applyNumberFormat="1" applyFont="1" applyFill="1"/>
    <xf numFmtId="0" fontId="7" fillId="0" borderId="0" xfId="0" applyFont="1"/>
    <xf numFmtId="10" fontId="0" fillId="0" borderId="0" xfId="0" applyNumberFormat="1"/>
    <xf numFmtId="0" fontId="0" fillId="8" borderId="0" xfId="0" quotePrefix="1" applyFill="1" applyAlignment="1">
      <alignment wrapText="1"/>
    </xf>
    <xf numFmtId="0" fontId="0" fillId="0" borderId="0" xfId="0" applyAlignment="1">
      <alignment horizontal="center"/>
    </xf>
    <xf numFmtId="0" fontId="9" fillId="0" borderId="0" xfId="0" applyFont="1"/>
    <xf numFmtId="0" fontId="10" fillId="0" borderId="0" xfId="0" applyFont="1"/>
    <xf numFmtId="0" fontId="11" fillId="0" borderId="0" xfId="0" applyFont="1"/>
    <xf numFmtId="0" fontId="10" fillId="13" borderId="0" xfId="0" applyFont="1" applyFill="1"/>
    <xf numFmtId="0" fontId="1" fillId="0" borderId="1" xfId="0" applyFont="1" applyBorder="1"/>
    <xf numFmtId="0" fontId="0" fillId="0" borderId="1" xfId="0" applyBorder="1"/>
    <xf numFmtId="0" fontId="12" fillId="11" borderId="0" xfId="0" applyFont="1" applyFill="1" applyAlignment="1">
      <alignment vertical="center"/>
    </xf>
    <xf numFmtId="49" fontId="0" fillId="0" borderId="0" xfId="0" applyNumberFormat="1"/>
    <xf numFmtId="165" fontId="0" fillId="9" borderId="0" xfId="0" applyNumberFormat="1" applyFill="1"/>
    <xf numFmtId="49" fontId="0" fillId="0" borderId="0" xfId="0" applyNumberFormat="1" applyFont="1"/>
    <xf numFmtId="0" fontId="0" fillId="0" borderId="0" xfId="0" applyFont="1" applyFill="1"/>
    <xf numFmtId="0" fontId="2" fillId="0" borderId="1" xfId="0" applyFont="1" applyBorder="1"/>
    <xf numFmtId="0" fontId="3" fillId="0" borderId="1" xfId="0" applyFont="1" applyBorder="1"/>
    <xf numFmtId="0" fontId="0" fillId="0" borderId="1" xfId="0" applyFill="1" applyBorder="1"/>
    <xf numFmtId="20" fontId="0" fillId="0" borderId="1" xfId="0" applyNumberFormat="1" applyBorder="1"/>
    <xf numFmtId="0" fontId="0" fillId="0" borderId="1" xfId="0" applyBorder="1" applyAlignment="1">
      <alignment horizontal="right"/>
    </xf>
    <xf numFmtId="0" fontId="0" fillId="0" borderId="0" xfId="0" applyAlignment="1">
      <alignment horizontal="center"/>
    </xf>
    <xf numFmtId="0" fontId="1" fillId="0" borderId="1" xfId="0" applyFont="1" applyFill="1" applyBorder="1"/>
    <xf numFmtId="0" fontId="2" fillId="0" borderId="0" xfId="0" applyFont="1" applyFill="1"/>
    <xf numFmtId="0" fontId="0" fillId="0" borderId="3" xfId="0" applyBorder="1"/>
    <xf numFmtId="0" fontId="1" fillId="0" borderId="0" xfId="0" applyFont="1" applyBorder="1"/>
    <xf numFmtId="0" fontId="0" fillId="0" borderId="0" xfId="0" applyBorder="1"/>
    <xf numFmtId="0" fontId="6" fillId="0" borderId="1" xfId="0" applyFont="1" applyBorder="1"/>
    <xf numFmtId="0" fontId="10" fillId="0" borderId="1" xfId="0" applyFont="1" applyBorder="1"/>
    <xf numFmtId="0" fontId="0" fillId="0" borderId="1" xfId="0" applyNumberFormat="1" applyBorder="1"/>
    <xf numFmtId="0" fontId="0" fillId="0" borderId="0" xfId="0" applyFill="1" applyBorder="1"/>
    <xf numFmtId="0" fontId="0" fillId="2" borderId="0" xfId="0" applyFont="1" applyFill="1" applyBorder="1"/>
    <xf numFmtId="0" fontId="0" fillId="0" borderId="0" xfId="0" applyAlignment="1">
      <alignment horizontal="center"/>
    </xf>
    <xf numFmtId="0" fontId="1" fillId="14" borderId="0" xfId="0" applyFont="1" applyFill="1" applyAlignment="1">
      <alignment horizontal="center"/>
    </xf>
    <xf numFmtId="0" fontId="1" fillId="10" borderId="0" xfId="0" applyFont="1" applyFill="1" applyAlignment="1">
      <alignment horizontal="center"/>
    </xf>
    <xf numFmtId="0" fontId="1" fillId="15" borderId="1" xfId="0" applyFont="1" applyFill="1" applyBorder="1" applyAlignment="1">
      <alignment horizontal="center"/>
    </xf>
    <xf numFmtId="0" fontId="3" fillId="0" borderId="3" xfId="0" applyFont="1" applyBorder="1" applyAlignment="1">
      <alignment horizontal="center"/>
    </xf>
    <xf numFmtId="0" fontId="7" fillId="0" borderId="4" xfId="0" applyFont="1" applyBorder="1" applyAlignment="1">
      <alignment horizontal="center"/>
    </xf>
    <xf numFmtId="0" fontId="3" fillId="0" borderId="5" xfId="0" applyFont="1" applyBorder="1" applyAlignment="1">
      <alignment horizontal="center"/>
    </xf>
    <xf numFmtId="0" fontId="3" fillId="0" borderId="0" xfId="0" applyFont="1" applyAlignment="1">
      <alignment horizontal="center"/>
    </xf>
    <xf numFmtId="0" fontId="3" fillId="0" borderId="6" xfId="0" applyFont="1" applyBorder="1" applyAlignment="1">
      <alignment horizontal="center"/>
    </xf>
    <xf numFmtId="0" fontId="7" fillId="0" borderId="7"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7" fillId="0" borderId="0" xfId="0" applyFont="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7" fillId="0" borderId="12" xfId="0" applyFont="1" applyBorder="1" applyAlignment="1">
      <alignment horizontal="center"/>
    </xf>
    <xf numFmtId="0" fontId="3" fillId="0" borderId="13" xfId="0" applyFont="1" applyBorder="1" applyAlignment="1">
      <alignment horizontal="center"/>
    </xf>
    <xf numFmtId="0" fontId="8" fillId="16" borderId="9" xfId="0" applyFont="1" applyFill="1" applyBorder="1" applyAlignment="1">
      <alignment horizontal="center"/>
    </xf>
    <xf numFmtId="0" fontId="13" fillId="16" borderId="0" xfId="0" applyFont="1" applyFill="1" applyAlignment="1">
      <alignment horizontal="center"/>
    </xf>
    <xf numFmtId="0" fontId="8" fillId="16" borderId="10" xfId="0" applyFont="1" applyFill="1" applyBorder="1" applyAlignment="1">
      <alignment horizontal="center"/>
    </xf>
    <xf numFmtId="0" fontId="8" fillId="16" borderId="0" xfId="0" applyFont="1" applyFill="1" applyAlignment="1">
      <alignment horizontal="center"/>
    </xf>
    <xf numFmtId="0" fontId="8" fillId="16" borderId="13" xfId="0" applyFont="1" applyFill="1" applyBorder="1" applyAlignment="1">
      <alignment horizontal="center"/>
    </xf>
    <xf numFmtId="0" fontId="8" fillId="16" borderId="11" xfId="0" applyFont="1" applyFill="1" applyBorder="1" applyAlignment="1">
      <alignment horizontal="center"/>
    </xf>
    <xf numFmtId="0" fontId="13" fillId="16" borderId="12" xfId="0" applyFont="1" applyFill="1" applyBorder="1" applyAlignment="1">
      <alignment horizontal="center"/>
    </xf>
    <xf numFmtId="0" fontId="14" fillId="17" borderId="0" xfId="0" applyFont="1" applyFill="1" applyAlignment="1">
      <alignment horizontal="center"/>
    </xf>
    <xf numFmtId="0" fontId="2" fillId="0" borderId="0" xfId="0" applyFont="1" applyAlignment="1">
      <alignment horizontal="center"/>
    </xf>
    <xf numFmtId="0" fontId="6"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31306-7DE8-4A5C-B63B-B60A17653980}">
  <sheetPr codeName="Sheet10"/>
  <dimension ref="A1:M33"/>
  <sheetViews>
    <sheetView zoomScaleNormal="100" workbookViewId="0">
      <pane ySplit="1" topLeftCell="A6" activePane="bottomLeft" state="frozen"/>
      <selection pane="bottomLeft" activeCell="D16" sqref="D16"/>
    </sheetView>
  </sheetViews>
  <sheetFormatPr defaultRowHeight="14.4"/>
  <cols>
    <col min="1" max="1" width="8.88671875" customWidth="1"/>
    <col min="2" max="3" width="16.88671875" customWidth="1"/>
    <col min="4" max="4" width="22" customWidth="1"/>
    <col min="5" max="5" width="12.33203125" customWidth="1"/>
    <col min="6" max="6" width="20.44140625" customWidth="1"/>
    <col min="7" max="7" width="18" bestFit="1" customWidth="1"/>
    <col min="8" max="8" width="10.109375" customWidth="1"/>
    <col min="9" max="9" width="9.77734375" customWidth="1"/>
    <col min="10" max="10" width="60.21875" customWidth="1"/>
    <col min="12" max="12" width="16.33203125" bestFit="1" customWidth="1"/>
    <col min="13" max="13" width="12.33203125" customWidth="1"/>
  </cols>
  <sheetData>
    <row r="1" spans="1:13">
      <c r="A1" s="1" t="s">
        <v>40</v>
      </c>
      <c r="B1" s="1" t="s">
        <v>284</v>
      </c>
      <c r="C1" s="1" t="s">
        <v>345</v>
      </c>
      <c r="D1" s="1" t="s">
        <v>344</v>
      </c>
      <c r="E1" s="1" t="s">
        <v>405</v>
      </c>
      <c r="F1" s="1" t="s">
        <v>33</v>
      </c>
      <c r="G1" s="1" t="s">
        <v>67</v>
      </c>
      <c r="H1" s="1" t="s">
        <v>288</v>
      </c>
      <c r="I1" s="1" t="s">
        <v>289</v>
      </c>
      <c r="L1" s="1" t="s">
        <v>386</v>
      </c>
      <c r="M1" s="1" t="s">
        <v>385</v>
      </c>
    </row>
    <row r="2" spans="1:13" ht="28.8">
      <c r="A2" s="39">
        <v>1</v>
      </c>
      <c r="B2" s="39" t="s">
        <v>256</v>
      </c>
      <c r="C2" s="39"/>
      <c r="D2" s="97" t="s">
        <v>75</v>
      </c>
      <c r="E2" s="16">
        <v>1</v>
      </c>
      <c r="F2" s="16">
        <v>1</v>
      </c>
      <c r="G2" s="16">
        <v>0</v>
      </c>
      <c r="H2" s="16">
        <v>1</v>
      </c>
      <c r="J2" s="41" t="s">
        <v>285</v>
      </c>
      <c r="L2" s="16">
        <v>1</v>
      </c>
      <c r="M2" s="16">
        <v>1</v>
      </c>
    </row>
    <row r="3" spans="1:13">
      <c r="A3" s="39">
        <v>2</v>
      </c>
      <c r="B3" s="39" t="s">
        <v>257</v>
      </c>
      <c r="C3" s="39"/>
      <c r="D3" s="97" t="s">
        <v>76</v>
      </c>
      <c r="E3" s="16">
        <v>1</v>
      </c>
      <c r="F3" s="16">
        <v>0</v>
      </c>
      <c r="G3" s="16">
        <v>0</v>
      </c>
      <c r="H3" s="16">
        <v>1</v>
      </c>
      <c r="L3" s="16">
        <v>1</v>
      </c>
      <c r="M3" s="16">
        <v>1</v>
      </c>
    </row>
    <row r="4" spans="1:13">
      <c r="A4" s="39">
        <v>3</v>
      </c>
      <c r="B4" s="39" t="s">
        <v>258</v>
      </c>
      <c r="C4" s="39"/>
      <c r="D4" s="97" t="s">
        <v>77</v>
      </c>
      <c r="E4" s="16">
        <v>1</v>
      </c>
      <c r="F4" s="16">
        <v>1</v>
      </c>
      <c r="G4" s="16">
        <v>0</v>
      </c>
      <c r="H4" s="16">
        <v>1</v>
      </c>
      <c r="J4" s="17" t="s">
        <v>283</v>
      </c>
      <c r="L4" s="16">
        <v>1</v>
      </c>
      <c r="M4" s="16">
        <v>1</v>
      </c>
    </row>
    <row r="5" spans="1:13">
      <c r="A5" s="39">
        <v>4</v>
      </c>
      <c r="B5" s="39" t="s">
        <v>259</v>
      </c>
      <c r="C5" s="39"/>
      <c r="D5" s="97" t="s">
        <v>255</v>
      </c>
      <c r="E5" s="16">
        <v>1</v>
      </c>
      <c r="F5" s="16">
        <v>1</v>
      </c>
      <c r="G5" s="16">
        <v>0</v>
      </c>
      <c r="H5" s="16">
        <v>1</v>
      </c>
      <c r="J5" s="17" t="s">
        <v>282</v>
      </c>
      <c r="L5" s="16">
        <v>1</v>
      </c>
      <c r="M5" s="16">
        <v>1</v>
      </c>
    </row>
    <row r="6" spans="1:13">
      <c r="A6" s="39">
        <v>5</v>
      </c>
      <c r="B6" s="39" t="s">
        <v>260</v>
      </c>
      <c r="C6" s="39"/>
      <c r="D6" s="97" t="s">
        <v>264</v>
      </c>
      <c r="E6" s="16">
        <v>1</v>
      </c>
      <c r="F6" s="16">
        <v>0</v>
      </c>
      <c r="G6" s="16">
        <v>1</v>
      </c>
      <c r="H6" s="16">
        <v>1</v>
      </c>
      <c r="L6" s="16">
        <v>1</v>
      </c>
      <c r="M6" s="16">
        <v>1</v>
      </c>
    </row>
    <row r="7" spans="1:13">
      <c r="A7" s="39">
        <v>6</v>
      </c>
      <c r="B7" s="39" t="s">
        <v>261</v>
      </c>
      <c r="C7" s="39"/>
      <c r="D7" s="97" t="s">
        <v>267</v>
      </c>
      <c r="E7" s="16">
        <v>1</v>
      </c>
      <c r="F7" s="16">
        <v>0</v>
      </c>
      <c r="G7" s="16">
        <v>0</v>
      </c>
      <c r="H7" s="16">
        <v>1</v>
      </c>
      <c r="L7" s="16">
        <v>1</v>
      </c>
      <c r="M7" s="16">
        <v>1</v>
      </c>
    </row>
    <row r="8" spans="1:13">
      <c r="A8" s="39">
        <v>7</v>
      </c>
      <c r="B8" s="16" t="s">
        <v>37</v>
      </c>
      <c r="C8" s="16"/>
      <c r="D8" s="97" t="s">
        <v>272</v>
      </c>
      <c r="E8" s="16">
        <v>1</v>
      </c>
      <c r="F8" s="16">
        <v>0</v>
      </c>
      <c r="G8" s="16">
        <v>0</v>
      </c>
      <c r="L8" s="16">
        <v>1</v>
      </c>
      <c r="M8" s="16">
        <v>1</v>
      </c>
    </row>
    <row r="9" spans="1:13">
      <c r="A9" s="16">
        <v>100</v>
      </c>
      <c r="B9" s="16"/>
      <c r="C9" s="16"/>
      <c r="D9" s="97" t="s">
        <v>275</v>
      </c>
      <c r="E9" s="16">
        <v>1</v>
      </c>
      <c r="F9" s="16">
        <v>1</v>
      </c>
      <c r="G9" s="16">
        <v>0</v>
      </c>
      <c r="L9" s="16">
        <v>1</v>
      </c>
      <c r="M9" s="16">
        <v>1</v>
      </c>
    </row>
    <row r="10" spans="1:13">
      <c r="A10" s="16">
        <v>101</v>
      </c>
      <c r="B10" s="16"/>
      <c r="C10" s="16"/>
      <c r="D10" s="97" t="s">
        <v>89</v>
      </c>
      <c r="E10" s="16">
        <v>1</v>
      </c>
      <c r="F10" s="16">
        <v>0</v>
      </c>
      <c r="G10" s="16">
        <v>0</v>
      </c>
      <c r="J10" s="17"/>
      <c r="L10" s="16">
        <v>0</v>
      </c>
      <c r="M10" s="16">
        <v>0</v>
      </c>
    </row>
    <row r="11" spans="1:13">
      <c r="A11" s="16">
        <v>102</v>
      </c>
      <c r="B11" s="16"/>
      <c r="C11" s="16"/>
      <c r="D11" s="97" t="s">
        <v>90</v>
      </c>
      <c r="E11" s="16">
        <v>1</v>
      </c>
      <c r="F11" s="16">
        <v>0</v>
      </c>
      <c r="G11" s="16">
        <v>0</v>
      </c>
      <c r="L11" s="16">
        <v>0</v>
      </c>
      <c r="M11" s="16">
        <v>0</v>
      </c>
    </row>
    <row r="12" spans="1:13">
      <c r="A12" s="16">
        <v>103</v>
      </c>
      <c r="B12" s="16"/>
      <c r="C12" s="16"/>
      <c r="D12" s="98" t="s">
        <v>409</v>
      </c>
      <c r="E12" s="16">
        <v>1</v>
      </c>
      <c r="F12" s="16">
        <v>1</v>
      </c>
      <c r="G12" s="16">
        <v>0</v>
      </c>
      <c r="L12" s="16">
        <v>0</v>
      </c>
      <c r="M12" s="16">
        <v>0</v>
      </c>
    </row>
    <row r="13" spans="1:13">
      <c r="A13" s="16">
        <v>104</v>
      </c>
      <c r="B13" s="16"/>
      <c r="C13" s="16"/>
      <c r="D13" s="97" t="s">
        <v>93</v>
      </c>
      <c r="E13" s="16">
        <v>1</v>
      </c>
      <c r="F13" s="16">
        <v>1</v>
      </c>
      <c r="G13" s="16">
        <v>0</v>
      </c>
      <c r="L13" s="16">
        <v>0</v>
      </c>
      <c r="M13" s="16">
        <v>0</v>
      </c>
    </row>
    <row r="14" spans="1:13">
      <c r="A14" s="16">
        <v>105</v>
      </c>
      <c r="B14" s="16" t="s">
        <v>286</v>
      </c>
      <c r="C14" s="16"/>
      <c r="D14" s="98" t="s">
        <v>410</v>
      </c>
      <c r="E14" s="16">
        <v>1</v>
      </c>
      <c r="F14" s="16">
        <v>1</v>
      </c>
      <c r="G14" s="16">
        <v>1</v>
      </c>
      <c r="H14" s="16">
        <v>1</v>
      </c>
      <c r="I14" s="16">
        <v>0</v>
      </c>
      <c r="J14" s="12" t="s">
        <v>336</v>
      </c>
      <c r="L14" s="16">
        <v>1</v>
      </c>
      <c r="M14" s="16">
        <v>1</v>
      </c>
    </row>
    <row r="15" spans="1:13">
      <c r="A15" s="16">
        <v>106</v>
      </c>
      <c r="B15" s="16"/>
      <c r="C15" s="16"/>
      <c r="D15" s="97" t="s">
        <v>232</v>
      </c>
      <c r="E15" s="16">
        <v>1</v>
      </c>
      <c r="F15" s="16">
        <v>1</v>
      </c>
      <c r="G15" s="16">
        <v>1</v>
      </c>
      <c r="H15" s="16"/>
      <c r="I15" s="16"/>
      <c r="J15" s="12"/>
      <c r="L15" s="16"/>
      <c r="M15" s="16"/>
    </row>
    <row r="16" spans="1:13">
      <c r="A16" s="16">
        <v>107</v>
      </c>
      <c r="B16" s="16" t="s">
        <v>287</v>
      </c>
      <c r="C16" s="16"/>
      <c r="D16" s="97" t="s">
        <v>74</v>
      </c>
      <c r="E16" s="16">
        <v>1</v>
      </c>
      <c r="F16" s="16">
        <v>0</v>
      </c>
      <c r="G16" s="16">
        <v>1</v>
      </c>
      <c r="J16" s="17" t="s">
        <v>281</v>
      </c>
      <c r="L16" s="16">
        <v>0</v>
      </c>
      <c r="M16" s="16">
        <v>1</v>
      </c>
    </row>
    <row r="17" spans="1:13">
      <c r="A17" s="16">
        <v>108</v>
      </c>
      <c r="B17" s="16" t="s">
        <v>37</v>
      </c>
      <c r="C17" s="16"/>
      <c r="D17" s="97" t="s">
        <v>262</v>
      </c>
      <c r="E17" s="16">
        <v>1</v>
      </c>
      <c r="F17" s="16">
        <v>0</v>
      </c>
      <c r="G17" s="16">
        <v>1</v>
      </c>
      <c r="J17" s="18"/>
      <c r="L17" s="16">
        <v>0</v>
      </c>
      <c r="M17" s="16">
        <v>1</v>
      </c>
    </row>
    <row r="18" spans="1:13">
      <c r="A18" s="16">
        <v>109</v>
      </c>
      <c r="B18" s="16" t="s">
        <v>37</v>
      </c>
      <c r="C18" s="16"/>
      <c r="D18" s="97" t="s">
        <v>265</v>
      </c>
      <c r="E18" s="16">
        <v>1</v>
      </c>
      <c r="F18" s="16">
        <v>0</v>
      </c>
      <c r="G18" s="16">
        <v>1</v>
      </c>
      <c r="J18" s="18"/>
      <c r="L18" s="16">
        <v>1</v>
      </c>
      <c r="M18" s="16">
        <v>1</v>
      </c>
    </row>
    <row r="19" spans="1:13">
      <c r="A19" s="16">
        <v>110</v>
      </c>
      <c r="B19" s="16" t="s">
        <v>287</v>
      </c>
      <c r="C19" s="16"/>
      <c r="D19" s="97" t="s">
        <v>268</v>
      </c>
      <c r="E19" s="16">
        <v>1</v>
      </c>
      <c r="F19" s="16">
        <v>1</v>
      </c>
      <c r="G19" s="16">
        <v>1</v>
      </c>
      <c r="J19" s="18"/>
      <c r="L19" s="16">
        <v>0</v>
      </c>
      <c r="M19" s="16">
        <v>1</v>
      </c>
    </row>
    <row r="20" spans="1:13">
      <c r="A20" s="16">
        <v>111</v>
      </c>
      <c r="B20" s="16" t="s">
        <v>287</v>
      </c>
      <c r="C20" s="16"/>
      <c r="D20" s="97" t="s">
        <v>384</v>
      </c>
      <c r="E20" s="16">
        <v>1</v>
      </c>
      <c r="F20" s="16">
        <v>0</v>
      </c>
      <c r="G20" s="16">
        <v>1</v>
      </c>
      <c r="J20" s="18"/>
      <c r="L20" s="16">
        <v>0</v>
      </c>
      <c r="M20" s="16">
        <v>1</v>
      </c>
    </row>
    <row r="21" spans="1:13">
      <c r="A21" s="16">
        <v>112</v>
      </c>
      <c r="B21" s="16" t="s">
        <v>37</v>
      </c>
      <c r="C21" s="16"/>
      <c r="D21" s="97" t="s">
        <v>270</v>
      </c>
      <c r="E21" s="16">
        <v>1</v>
      </c>
      <c r="F21" s="16">
        <v>0</v>
      </c>
      <c r="G21" s="16">
        <v>1</v>
      </c>
      <c r="J21" s="17"/>
      <c r="L21" s="16">
        <v>0</v>
      </c>
      <c r="M21" s="16">
        <v>1</v>
      </c>
    </row>
    <row r="22" spans="1:13">
      <c r="A22" s="16">
        <v>113</v>
      </c>
      <c r="B22" s="16" t="s">
        <v>37</v>
      </c>
      <c r="C22" s="16"/>
      <c r="D22" s="97" t="s">
        <v>273</v>
      </c>
      <c r="E22" s="16">
        <v>1</v>
      </c>
      <c r="F22" s="16">
        <v>0</v>
      </c>
      <c r="G22" s="16">
        <v>1</v>
      </c>
      <c r="J22" t="s">
        <v>280</v>
      </c>
      <c r="L22" s="16">
        <v>0</v>
      </c>
      <c r="M22" s="16">
        <v>1</v>
      </c>
    </row>
    <row r="23" spans="1:13">
      <c r="A23" s="16">
        <v>114</v>
      </c>
      <c r="B23" s="16" t="s">
        <v>287</v>
      </c>
      <c r="C23" s="16"/>
      <c r="D23" s="97" t="s">
        <v>276</v>
      </c>
      <c r="E23" s="16">
        <v>1</v>
      </c>
      <c r="F23" s="16">
        <v>1</v>
      </c>
      <c r="G23" s="16">
        <v>1</v>
      </c>
      <c r="J23" s="17" t="s">
        <v>281</v>
      </c>
      <c r="L23" s="16">
        <v>0</v>
      </c>
      <c r="M23" s="16">
        <v>1</v>
      </c>
    </row>
    <row r="24" spans="1:13">
      <c r="A24" s="16">
        <v>115</v>
      </c>
      <c r="B24" s="16" t="s">
        <v>287</v>
      </c>
      <c r="C24" s="16"/>
      <c r="D24" s="97" t="s">
        <v>278</v>
      </c>
      <c r="E24" s="16">
        <v>1</v>
      </c>
      <c r="F24" s="16">
        <v>0</v>
      </c>
      <c r="G24" s="16">
        <v>1</v>
      </c>
      <c r="J24" s="17"/>
      <c r="L24" s="16">
        <v>0</v>
      </c>
      <c r="M24" s="16">
        <v>1</v>
      </c>
    </row>
    <row r="25" spans="1:13">
      <c r="A25" s="16">
        <v>116</v>
      </c>
      <c r="B25" s="16" t="s">
        <v>37</v>
      </c>
      <c r="C25" s="16"/>
      <c r="D25" s="97" t="s">
        <v>229</v>
      </c>
      <c r="E25" s="16">
        <v>1</v>
      </c>
      <c r="F25" s="16">
        <v>0</v>
      </c>
      <c r="G25" s="16">
        <v>1</v>
      </c>
      <c r="J25" s="17"/>
      <c r="L25" s="16">
        <v>0</v>
      </c>
      <c r="M25" s="16">
        <v>0</v>
      </c>
    </row>
    <row r="26" spans="1:13">
      <c r="A26" s="16">
        <v>117</v>
      </c>
      <c r="B26" s="16" t="s">
        <v>37</v>
      </c>
      <c r="C26" s="16"/>
      <c r="D26" s="97" t="s">
        <v>263</v>
      </c>
      <c r="E26" s="16">
        <v>1</v>
      </c>
      <c r="F26" s="16">
        <v>0</v>
      </c>
      <c r="G26" s="16">
        <v>1</v>
      </c>
      <c r="J26" s="17"/>
      <c r="L26" s="16">
        <v>0</v>
      </c>
      <c r="M26" s="16">
        <v>1</v>
      </c>
    </row>
    <row r="27" spans="1:13">
      <c r="A27" s="16">
        <v>118</v>
      </c>
      <c r="B27" s="16" t="s">
        <v>37</v>
      </c>
      <c r="C27" s="16"/>
      <c r="D27" s="97" t="s">
        <v>266</v>
      </c>
      <c r="E27" s="16">
        <v>1</v>
      </c>
      <c r="F27" s="16">
        <v>0</v>
      </c>
      <c r="G27" s="16">
        <v>1</v>
      </c>
      <c r="L27" s="16">
        <v>0</v>
      </c>
      <c r="M27" s="16">
        <v>1</v>
      </c>
    </row>
    <row r="28" spans="1:13">
      <c r="A28" s="16">
        <v>119</v>
      </c>
      <c r="B28" s="16" t="s">
        <v>290</v>
      </c>
      <c r="D28" s="97" t="s">
        <v>269</v>
      </c>
      <c r="E28" s="16">
        <v>1</v>
      </c>
      <c r="F28" s="16">
        <v>1</v>
      </c>
      <c r="G28" s="16">
        <v>1</v>
      </c>
      <c r="L28" s="16">
        <v>0</v>
      </c>
      <c r="M28" s="16">
        <v>1</v>
      </c>
    </row>
    <row r="29" spans="1:13">
      <c r="A29" s="16">
        <v>120</v>
      </c>
      <c r="B29" s="16" t="s">
        <v>37</v>
      </c>
      <c r="C29" s="16"/>
      <c r="D29" s="97" t="s">
        <v>404</v>
      </c>
      <c r="E29" s="16">
        <v>1</v>
      </c>
      <c r="F29" s="16">
        <v>0</v>
      </c>
      <c r="G29" s="16">
        <v>1</v>
      </c>
      <c r="J29" s="17"/>
      <c r="L29" s="16">
        <v>1</v>
      </c>
      <c r="M29" s="16">
        <v>1</v>
      </c>
    </row>
    <row r="30" spans="1:13">
      <c r="A30" s="16">
        <v>200</v>
      </c>
      <c r="B30" s="16" t="s">
        <v>287</v>
      </c>
      <c r="C30" s="16"/>
      <c r="D30" s="97" t="s">
        <v>271</v>
      </c>
      <c r="E30" s="16">
        <v>1</v>
      </c>
      <c r="F30" s="16">
        <v>1</v>
      </c>
      <c r="G30" s="16">
        <v>1</v>
      </c>
      <c r="L30" s="16">
        <v>0</v>
      </c>
      <c r="M30" s="16">
        <v>1</v>
      </c>
    </row>
    <row r="31" spans="1:13">
      <c r="A31" s="16">
        <v>201</v>
      </c>
      <c r="B31" s="16"/>
      <c r="C31" s="16"/>
      <c r="D31" s="97" t="s">
        <v>274</v>
      </c>
      <c r="E31" s="16">
        <v>1</v>
      </c>
      <c r="F31" s="16">
        <v>1</v>
      </c>
      <c r="G31" s="16">
        <v>0</v>
      </c>
      <c r="L31" s="16">
        <v>0</v>
      </c>
      <c r="M31" s="16">
        <v>1</v>
      </c>
    </row>
    <row r="32" spans="1:13">
      <c r="A32" s="16">
        <v>202</v>
      </c>
      <c r="B32" s="16" t="s">
        <v>37</v>
      </c>
      <c r="C32" s="16"/>
      <c r="D32" s="97" t="s">
        <v>277</v>
      </c>
      <c r="E32" s="16">
        <v>1</v>
      </c>
      <c r="F32" s="16">
        <v>1</v>
      </c>
      <c r="G32" s="16">
        <v>0</v>
      </c>
      <c r="L32" s="16">
        <v>1</v>
      </c>
      <c r="M32" s="16">
        <v>1</v>
      </c>
    </row>
    <row r="33" spans="1:13">
      <c r="A33" s="16">
        <v>203</v>
      </c>
      <c r="B33" s="16" t="s">
        <v>37</v>
      </c>
      <c r="C33" s="16"/>
      <c r="D33" s="97" t="s">
        <v>279</v>
      </c>
      <c r="E33" s="16">
        <v>1</v>
      </c>
      <c r="F33" s="16">
        <v>1</v>
      </c>
      <c r="G33" s="16">
        <v>1</v>
      </c>
      <c r="L33" s="16">
        <v>0</v>
      </c>
      <c r="M33" s="16">
        <v>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195FD-0788-4EC6-8C6E-CE53B2BBD6CB}">
  <sheetPr filterMode="1"/>
  <dimension ref="A1:O129"/>
  <sheetViews>
    <sheetView topLeftCell="B1" zoomScale="70" zoomScaleNormal="70" workbookViewId="0">
      <pane ySplit="1" topLeftCell="A2" activePane="bottomLeft" state="frozen"/>
      <selection activeCell="B1" sqref="B1"/>
      <selection pane="bottomLeft" activeCell="H77" sqref="H77"/>
    </sheetView>
  </sheetViews>
  <sheetFormatPr defaultRowHeight="14.4"/>
  <cols>
    <col min="1" max="1" width="54.6640625" customWidth="1"/>
    <col min="2" max="2" width="13" bestFit="1" customWidth="1"/>
    <col min="3" max="3" width="14.21875" style="70" customWidth="1"/>
    <col min="4" max="4" width="14.21875" style="33" customWidth="1"/>
    <col min="5" max="5" width="14.21875" style="70" customWidth="1"/>
    <col min="6" max="7" width="17.77734375" style="70" customWidth="1"/>
    <col min="8" max="8" width="56" style="70" customWidth="1"/>
    <col min="9" max="9" width="7.6640625" bestFit="1" customWidth="1"/>
    <col min="10" max="10" width="17.88671875" bestFit="1" customWidth="1"/>
    <col min="11" max="11" width="14.88671875" bestFit="1" customWidth="1"/>
    <col min="12" max="12" width="16.109375" bestFit="1" customWidth="1"/>
    <col min="13" max="13" width="20.44140625" customWidth="1"/>
    <col min="14" max="14" width="13.33203125" bestFit="1" customWidth="1"/>
    <col min="15" max="15" width="15" bestFit="1" customWidth="1"/>
  </cols>
  <sheetData>
    <row r="1" spans="1:15">
      <c r="B1" s="1" t="s">
        <v>387</v>
      </c>
      <c r="C1" s="71" t="s">
        <v>388</v>
      </c>
      <c r="D1" s="72" t="s">
        <v>389</v>
      </c>
      <c r="E1" s="71" t="s">
        <v>390</v>
      </c>
      <c r="F1" s="73" t="s">
        <v>391</v>
      </c>
      <c r="G1" s="73" t="s">
        <v>392</v>
      </c>
      <c r="H1" s="94" t="s">
        <v>397</v>
      </c>
      <c r="J1" s="99"/>
      <c r="K1" s="99"/>
      <c r="L1" s="99"/>
    </row>
    <row r="2" spans="1:15">
      <c r="A2" s="23"/>
      <c r="B2" s="96">
        <v>1</v>
      </c>
      <c r="C2" s="74" t="s">
        <v>75</v>
      </c>
      <c r="D2" s="75" t="s">
        <v>75</v>
      </c>
      <c r="E2" s="76" t="s">
        <v>75</v>
      </c>
      <c r="F2" s="77" t="s">
        <v>393</v>
      </c>
      <c r="G2" s="77" t="s">
        <v>393</v>
      </c>
      <c r="H2" s="77"/>
      <c r="I2">
        <f>IF(OR(C2="WALK",E2="WALK"),1,0)</f>
        <v>1</v>
      </c>
      <c r="J2" s="42" t="s">
        <v>75</v>
      </c>
      <c r="K2" s="42"/>
      <c r="L2" s="42"/>
      <c r="M2" s="42"/>
      <c r="N2" s="59"/>
      <c r="O2" s="59"/>
    </row>
    <row r="3" spans="1:15">
      <c r="A3" s="24"/>
      <c r="B3" s="96">
        <v>2</v>
      </c>
      <c r="C3" s="74" t="s">
        <v>75</v>
      </c>
      <c r="D3" s="75" t="s">
        <v>76</v>
      </c>
      <c r="E3" s="76" t="s">
        <v>75</v>
      </c>
      <c r="F3" s="77" t="s">
        <v>393</v>
      </c>
      <c r="G3" s="77" t="s">
        <v>393</v>
      </c>
      <c r="H3" s="77"/>
      <c r="I3">
        <f t="shared" ref="I3:I66" si="0">IF(OR(C3="WALK",E3="WALK"),1,0)</f>
        <v>1</v>
      </c>
      <c r="J3" s="70" t="s">
        <v>76</v>
      </c>
    </row>
    <row r="4" spans="1:15">
      <c r="A4" s="24"/>
      <c r="B4" s="96">
        <v>3</v>
      </c>
      <c r="C4" s="74" t="s">
        <v>75</v>
      </c>
      <c r="D4" s="75" t="s">
        <v>77</v>
      </c>
      <c r="E4" s="76" t="s">
        <v>75</v>
      </c>
      <c r="F4" s="77" t="s">
        <v>393</v>
      </c>
      <c r="G4" s="77" t="s">
        <v>393</v>
      </c>
      <c r="H4" s="77"/>
      <c r="I4">
        <f t="shared" si="0"/>
        <v>1</v>
      </c>
      <c r="J4" s="70" t="s">
        <v>77</v>
      </c>
    </row>
    <row r="5" spans="1:15">
      <c r="A5" s="24"/>
      <c r="B5" s="96">
        <v>4</v>
      </c>
      <c r="C5" s="78" t="s">
        <v>75</v>
      </c>
      <c r="D5" s="79" t="s">
        <v>255</v>
      </c>
      <c r="E5" s="80" t="s">
        <v>75</v>
      </c>
      <c r="F5" s="77" t="s">
        <v>393</v>
      </c>
      <c r="G5" s="77" t="s">
        <v>393</v>
      </c>
      <c r="H5" s="77"/>
      <c r="I5">
        <f t="shared" si="0"/>
        <v>1</v>
      </c>
      <c r="J5" s="70" t="s">
        <v>255</v>
      </c>
    </row>
    <row r="6" spans="1:15">
      <c r="A6" s="24"/>
      <c r="B6" s="96">
        <v>5</v>
      </c>
      <c r="C6" s="81" t="s">
        <v>75</v>
      </c>
      <c r="D6" s="82" t="s">
        <v>255</v>
      </c>
      <c r="E6" s="83" t="s">
        <v>76</v>
      </c>
      <c r="F6" s="77" t="s">
        <v>393</v>
      </c>
      <c r="G6" s="77" t="s">
        <v>393</v>
      </c>
      <c r="H6" s="95"/>
      <c r="I6">
        <f t="shared" si="0"/>
        <v>1</v>
      </c>
      <c r="J6" s="70" t="str">
        <f t="shared" ref="J6:J11" si="1">_xlfn.CONCAT(C6,"_",D6,"_",E6)</f>
        <v>WALK_DRT_BIKE</v>
      </c>
    </row>
    <row r="7" spans="1:15">
      <c r="A7" s="24"/>
      <c r="B7" s="96">
        <v>6</v>
      </c>
      <c r="C7" s="81" t="s">
        <v>75</v>
      </c>
      <c r="D7" s="82" t="s">
        <v>255</v>
      </c>
      <c r="E7" s="83" t="s">
        <v>77</v>
      </c>
      <c r="F7" s="77" t="s">
        <v>393</v>
      </c>
      <c r="G7" s="77" t="s">
        <v>393</v>
      </c>
      <c r="H7" s="95"/>
      <c r="I7">
        <f t="shared" si="0"/>
        <v>1</v>
      </c>
      <c r="J7" s="70" t="str">
        <f t="shared" si="1"/>
        <v>WALK_DRT_EBIKE</v>
      </c>
    </row>
    <row r="8" spans="1:15">
      <c r="A8" s="24"/>
      <c r="B8" s="1">
        <v>7</v>
      </c>
      <c r="C8" s="81" t="s">
        <v>75</v>
      </c>
      <c r="D8" s="82" t="s">
        <v>255</v>
      </c>
      <c r="E8" s="83" t="s">
        <v>74</v>
      </c>
      <c r="F8" s="77" t="s">
        <v>394</v>
      </c>
      <c r="G8" s="77" t="s">
        <v>393</v>
      </c>
      <c r="H8" s="95" t="s">
        <v>398</v>
      </c>
      <c r="I8">
        <f t="shared" si="0"/>
        <v>1</v>
      </c>
      <c r="J8" s="70" t="str">
        <f t="shared" si="1"/>
        <v>WALK_DRT_CAR</v>
      </c>
    </row>
    <row r="9" spans="1:15">
      <c r="A9" s="24"/>
      <c r="B9" s="39">
        <v>8</v>
      </c>
      <c r="C9" s="81" t="s">
        <v>75</v>
      </c>
      <c r="D9" s="82" t="s">
        <v>255</v>
      </c>
      <c r="E9" s="83" t="s">
        <v>229</v>
      </c>
      <c r="F9" s="77" t="s">
        <v>394</v>
      </c>
      <c r="G9" s="77" t="s">
        <v>393</v>
      </c>
      <c r="H9" s="95" t="s">
        <v>399</v>
      </c>
      <c r="I9">
        <f t="shared" si="0"/>
        <v>1</v>
      </c>
      <c r="J9" s="70" t="str">
        <f t="shared" si="1"/>
        <v>WALK_DRT_CP</v>
      </c>
    </row>
    <row r="10" spans="1:15">
      <c r="A10" s="24"/>
      <c r="B10" s="39">
        <v>9</v>
      </c>
      <c r="C10" s="84" t="s">
        <v>75</v>
      </c>
      <c r="D10" s="85" t="s">
        <v>255</v>
      </c>
      <c r="E10" s="86" t="s">
        <v>310</v>
      </c>
      <c r="F10" s="77" t="s">
        <v>393</v>
      </c>
      <c r="G10" s="77" t="s">
        <v>393</v>
      </c>
      <c r="H10" s="95"/>
      <c r="I10">
        <f t="shared" si="0"/>
        <v>1</v>
      </c>
      <c r="J10" s="70" t="str">
        <f t="shared" si="1"/>
        <v>WALK_DRT_PT</v>
      </c>
    </row>
    <row r="11" spans="1:15">
      <c r="A11" s="24"/>
      <c r="B11" s="96">
        <v>10</v>
      </c>
      <c r="C11" s="78" t="s">
        <v>76</v>
      </c>
      <c r="D11" s="79" t="s">
        <v>255</v>
      </c>
      <c r="E11" s="80" t="s">
        <v>75</v>
      </c>
      <c r="F11" s="77" t="str">
        <f>G6</f>
        <v>YES</v>
      </c>
      <c r="G11" s="77" t="str">
        <f>F6</f>
        <v>YES</v>
      </c>
      <c r="H11" s="95" t="s">
        <v>400</v>
      </c>
      <c r="I11">
        <f t="shared" si="0"/>
        <v>1</v>
      </c>
      <c r="J11" s="70" t="str">
        <f t="shared" si="1"/>
        <v>BIKE_DRT_WALK</v>
      </c>
    </row>
    <row r="12" spans="1:15" hidden="1">
      <c r="A12" s="24"/>
      <c r="B12" s="39">
        <v>11</v>
      </c>
      <c r="C12" s="81" t="s">
        <v>76</v>
      </c>
      <c r="D12" s="82" t="s">
        <v>255</v>
      </c>
      <c r="E12" s="83" t="s">
        <v>76</v>
      </c>
      <c r="F12" s="77" t="s">
        <v>393</v>
      </c>
      <c r="G12" s="77" t="s">
        <v>393</v>
      </c>
      <c r="H12" s="95" t="s">
        <v>400</v>
      </c>
      <c r="I12">
        <f t="shared" si="0"/>
        <v>0</v>
      </c>
    </row>
    <row r="13" spans="1:15" hidden="1">
      <c r="A13" s="24"/>
      <c r="B13" s="39">
        <v>12</v>
      </c>
      <c r="C13" s="81" t="s">
        <v>76</v>
      </c>
      <c r="D13" s="82" t="s">
        <v>255</v>
      </c>
      <c r="E13" s="83" t="s">
        <v>77</v>
      </c>
      <c r="F13" s="77" t="s">
        <v>393</v>
      </c>
      <c r="G13" s="77" t="s">
        <v>393</v>
      </c>
      <c r="H13" s="95"/>
      <c r="I13">
        <f t="shared" si="0"/>
        <v>0</v>
      </c>
    </row>
    <row r="14" spans="1:15" hidden="1">
      <c r="A14" s="24"/>
      <c r="B14" s="39">
        <v>13</v>
      </c>
      <c r="C14" s="81" t="s">
        <v>76</v>
      </c>
      <c r="D14" s="82" t="s">
        <v>255</v>
      </c>
      <c r="E14" s="83" t="s">
        <v>74</v>
      </c>
      <c r="F14" s="77" t="s">
        <v>394</v>
      </c>
      <c r="G14" s="77" t="s">
        <v>393</v>
      </c>
      <c r="H14" s="77"/>
      <c r="I14">
        <f t="shared" si="0"/>
        <v>0</v>
      </c>
    </row>
    <row r="15" spans="1:15" hidden="1">
      <c r="A15" s="24"/>
      <c r="B15" s="39">
        <v>14</v>
      </c>
      <c r="C15" s="81" t="s">
        <v>76</v>
      </c>
      <c r="D15" s="82" t="s">
        <v>255</v>
      </c>
      <c r="E15" s="83" t="s">
        <v>229</v>
      </c>
      <c r="F15" s="77" t="s">
        <v>394</v>
      </c>
      <c r="G15" s="77" t="s">
        <v>393</v>
      </c>
      <c r="H15" s="77"/>
      <c r="I15">
        <f t="shared" si="0"/>
        <v>0</v>
      </c>
    </row>
    <row r="16" spans="1:15" hidden="1">
      <c r="A16" s="49"/>
      <c r="B16" s="39">
        <v>15</v>
      </c>
      <c r="C16" s="84" t="s">
        <v>76</v>
      </c>
      <c r="D16" s="85" t="s">
        <v>255</v>
      </c>
      <c r="E16" s="86" t="s">
        <v>310</v>
      </c>
      <c r="F16" s="77" t="s">
        <v>393</v>
      </c>
      <c r="G16" s="77" t="s">
        <v>393</v>
      </c>
      <c r="H16" s="77"/>
      <c r="I16">
        <f t="shared" si="0"/>
        <v>0</v>
      </c>
    </row>
    <row r="17" spans="1:10">
      <c r="A17" s="49"/>
      <c r="B17" s="96">
        <v>16</v>
      </c>
      <c r="C17" s="78" t="s">
        <v>77</v>
      </c>
      <c r="D17" s="79" t="s">
        <v>255</v>
      </c>
      <c r="E17" s="80" t="s">
        <v>75</v>
      </c>
      <c r="F17" s="77" t="str">
        <f>G7</f>
        <v>YES</v>
      </c>
      <c r="G17" s="77" t="str">
        <f>F7</f>
        <v>YES</v>
      </c>
      <c r="H17" s="77"/>
      <c r="I17">
        <f t="shared" si="0"/>
        <v>1</v>
      </c>
      <c r="J17" s="70" t="str">
        <f>_xlfn.CONCAT(C17,"_",D17,"_",E17)</f>
        <v>EBIKE_DRT_WALK</v>
      </c>
    </row>
    <row r="18" spans="1:10" hidden="1">
      <c r="A18" s="49"/>
      <c r="B18" s="39">
        <v>17</v>
      </c>
      <c r="C18" s="81" t="s">
        <v>77</v>
      </c>
      <c r="D18" s="82" t="s">
        <v>255</v>
      </c>
      <c r="E18" s="83" t="s">
        <v>76</v>
      </c>
      <c r="F18" s="77" t="str">
        <f>G13</f>
        <v>YES</v>
      </c>
      <c r="G18" s="77" t="str">
        <f>F13</f>
        <v>YES</v>
      </c>
      <c r="H18" s="95"/>
      <c r="I18">
        <f t="shared" si="0"/>
        <v>0</v>
      </c>
    </row>
    <row r="19" spans="1:10" hidden="1">
      <c r="A19" s="49"/>
      <c r="B19" s="39">
        <v>18</v>
      </c>
      <c r="C19" s="81" t="s">
        <v>77</v>
      </c>
      <c r="D19" s="82" t="s">
        <v>255</v>
      </c>
      <c r="E19" s="83" t="s">
        <v>77</v>
      </c>
      <c r="F19" s="77" t="s">
        <v>393</v>
      </c>
      <c r="G19" s="77" t="s">
        <v>393</v>
      </c>
      <c r="H19" s="95"/>
      <c r="I19">
        <f t="shared" si="0"/>
        <v>0</v>
      </c>
    </row>
    <row r="20" spans="1:10" hidden="1">
      <c r="A20" s="24"/>
      <c r="B20" s="39">
        <v>19</v>
      </c>
      <c r="C20" s="81" t="s">
        <v>77</v>
      </c>
      <c r="D20" s="82" t="s">
        <v>255</v>
      </c>
      <c r="E20" s="83" t="s">
        <v>74</v>
      </c>
      <c r="F20" s="77" t="s">
        <v>394</v>
      </c>
      <c r="G20" s="77" t="s">
        <v>393</v>
      </c>
      <c r="H20" s="77"/>
      <c r="I20">
        <f t="shared" si="0"/>
        <v>0</v>
      </c>
    </row>
    <row r="21" spans="1:10" hidden="1">
      <c r="A21" s="24"/>
      <c r="B21" s="39">
        <v>20</v>
      </c>
      <c r="C21" s="81" t="s">
        <v>77</v>
      </c>
      <c r="D21" s="82" t="s">
        <v>255</v>
      </c>
      <c r="E21" s="83" t="s">
        <v>229</v>
      </c>
      <c r="F21" s="77" t="s">
        <v>394</v>
      </c>
      <c r="G21" s="77" t="s">
        <v>393</v>
      </c>
      <c r="H21" s="77"/>
      <c r="I21">
        <f t="shared" si="0"/>
        <v>0</v>
      </c>
    </row>
    <row r="22" spans="1:10" hidden="1">
      <c r="A22" s="24"/>
      <c r="B22" s="39">
        <v>21</v>
      </c>
      <c r="C22" s="84" t="s">
        <v>77</v>
      </c>
      <c r="D22" s="85" t="s">
        <v>255</v>
      </c>
      <c r="E22" s="86" t="s">
        <v>310</v>
      </c>
      <c r="F22" s="77" t="s">
        <v>393</v>
      </c>
      <c r="G22" s="77" t="s">
        <v>393</v>
      </c>
      <c r="H22" s="77"/>
      <c r="I22">
        <f t="shared" si="0"/>
        <v>0</v>
      </c>
    </row>
    <row r="23" spans="1:10">
      <c r="A23" s="24"/>
      <c r="B23" s="39">
        <v>22</v>
      </c>
      <c r="C23" s="78" t="s">
        <v>74</v>
      </c>
      <c r="D23" s="79" t="s">
        <v>255</v>
      </c>
      <c r="E23" s="80" t="s">
        <v>75</v>
      </c>
      <c r="F23" s="77" t="str">
        <f>G8</f>
        <v>YES</v>
      </c>
      <c r="G23" s="77" t="str">
        <f>F8</f>
        <v>NO</v>
      </c>
      <c r="H23" s="77"/>
      <c r="I23">
        <f t="shared" si="0"/>
        <v>1</v>
      </c>
      <c r="J23" s="70" t="str">
        <f>_xlfn.CONCAT(C23,"_",D23,"_",E23)</f>
        <v>CAR_DRT_WALK</v>
      </c>
    </row>
    <row r="24" spans="1:10" hidden="1">
      <c r="A24" s="49"/>
      <c r="B24" s="39">
        <v>23</v>
      </c>
      <c r="C24" s="81" t="s">
        <v>74</v>
      </c>
      <c r="D24" s="82" t="s">
        <v>255</v>
      </c>
      <c r="E24" s="83" t="s">
        <v>76</v>
      </c>
      <c r="F24" s="77" t="str">
        <f>G14</f>
        <v>YES</v>
      </c>
      <c r="G24" s="77" t="str">
        <f>F14</f>
        <v>NO</v>
      </c>
      <c r="H24" s="77"/>
      <c r="I24">
        <f t="shared" si="0"/>
        <v>0</v>
      </c>
    </row>
    <row r="25" spans="1:10" hidden="1">
      <c r="A25" s="24"/>
      <c r="B25" s="39">
        <v>24</v>
      </c>
      <c r="C25" s="81" t="s">
        <v>74</v>
      </c>
      <c r="D25" s="82" t="s">
        <v>255</v>
      </c>
      <c r="E25" s="83" t="s">
        <v>77</v>
      </c>
      <c r="F25" s="77" t="str">
        <f>G20</f>
        <v>YES</v>
      </c>
      <c r="G25" s="77" t="str">
        <f>F20</f>
        <v>NO</v>
      </c>
      <c r="H25" s="77"/>
      <c r="I25">
        <f t="shared" si="0"/>
        <v>0</v>
      </c>
    </row>
    <row r="26" spans="1:10" hidden="1">
      <c r="A26" s="24"/>
      <c r="B26" s="39">
        <v>25</v>
      </c>
      <c r="C26" s="87" t="s">
        <v>74</v>
      </c>
      <c r="D26" s="88" t="s">
        <v>255</v>
      </c>
      <c r="E26" s="89" t="s">
        <v>74</v>
      </c>
      <c r="F26" s="90" t="s">
        <v>394</v>
      </c>
      <c r="G26" s="90" t="s">
        <v>394</v>
      </c>
      <c r="H26" s="95"/>
      <c r="I26">
        <f t="shared" si="0"/>
        <v>0</v>
      </c>
    </row>
    <row r="27" spans="1:10" hidden="1">
      <c r="A27" s="24"/>
      <c r="B27" s="39">
        <v>26</v>
      </c>
      <c r="C27" s="81" t="s">
        <v>74</v>
      </c>
      <c r="D27" s="82" t="s">
        <v>255</v>
      </c>
      <c r="E27" s="83" t="s">
        <v>229</v>
      </c>
      <c r="F27" s="77" t="s">
        <v>393</v>
      </c>
      <c r="G27" s="77" t="s">
        <v>394</v>
      </c>
      <c r="H27" s="95" t="s">
        <v>401</v>
      </c>
      <c r="I27">
        <f t="shared" si="0"/>
        <v>0</v>
      </c>
    </row>
    <row r="28" spans="1:10" hidden="1">
      <c r="A28" s="24"/>
      <c r="B28" s="39">
        <v>27</v>
      </c>
      <c r="C28" s="84" t="s">
        <v>74</v>
      </c>
      <c r="D28" s="85" t="s">
        <v>255</v>
      </c>
      <c r="E28" s="86" t="s">
        <v>310</v>
      </c>
      <c r="F28" s="77" t="s">
        <v>393</v>
      </c>
      <c r="G28" s="77" t="s">
        <v>394</v>
      </c>
      <c r="H28" s="95"/>
      <c r="I28">
        <f t="shared" si="0"/>
        <v>0</v>
      </c>
    </row>
    <row r="29" spans="1:10">
      <c r="A29" s="24"/>
      <c r="B29" s="39">
        <v>28</v>
      </c>
      <c r="C29" s="78" t="s">
        <v>229</v>
      </c>
      <c r="D29" s="79" t="s">
        <v>255</v>
      </c>
      <c r="E29" s="80" t="s">
        <v>75</v>
      </c>
      <c r="F29" s="77" t="str">
        <f>G9</f>
        <v>YES</v>
      </c>
      <c r="G29" s="77" t="str">
        <f>F9</f>
        <v>NO</v>
      </c>
      <c r="H29" s="95"/>
      <c r="I29">
        <f t="shared" si="0"/>
        <v>1</v>
      </c>
      <c r="J29" s="70" t="str">
        <f>_xlfn.CONCAT(C29,"_",D29,"_",E29)</f>
        <v>CP_DRT_WALK</v>
      </c>
    </row>
    <row r="30" spans="1:10" hidden="1">
      <c r="A30" s="24"/>
      <c r="B30" s="39">
        <v>29</v>
      </c>
      <c r="C30" s="81" t="s">
        <v>229</v>
      </c>
      <c r="D30" s="82" t="s">
        <v>255</v>
      </c>
      <c r="E30" s="83" t="s">
        <v>76</v>
      </c>
      <c r="F30" s="77" t="str">
        <f>G15</f>
        <v>YES</v>
      </c>
      <c r="G30" s="77" t="str">
        <f>F15</f>
        <v>NO</v>
      </c>
      <c r="H30" s="77"/>
      <c r="I30">
        <f t="shared" si="0"/>
        <v>0</v>
      </c>
    </row>
    <row r="31" spans="1:10" hidden="1">
      <c r="A31" s="24"/>
      <c r="B31" s="39">
        <v>30</v>
      </c>
      <c r="C31" s="81" t="s">
        <v>229</v>
      </c>
      <c r="D31" s="82" t="s">
        <v>255</v>
      </c>
      <c r="E31" s="83" t="s">
        <v>77</v>
      </c>
      <c r="F31" s="77" t="str">
        <f>G21</f>
        <v>YES</v>
      </c>
      <c r="G31" s="77" t="str">
        <f>F21</f>
        <v>NO</v>
      </c>
      <c r="H31" s="77"/>
      <c r="I31">
        <f t="shared" si="0"/>
        <v>0</v>
      </c>
    </row>
    <row r="32" spans="1:10" hidden="1">
      <c r="A32" s="24"/>
      <c r="B32" s="39">
        <v>31</v>
      </c>
      <c r="C32" s="87" t="s">
        <v>229</v>
      </c>
      <c r="D32" s="88" t="s">
        <v>255</v>
      </c>
      <c r="E32" s="89" t="s">
        <v>74</v>
      </c>
      <c r="F32" s="90" t="s">
        <v>394</v>
      </c>
      <c r="G32" s="90" t="s">
        <v>394</v>
      </c>
      <c r="H32" s="77"/>
      <c r="I32">
        <f t="shared" si="0"/>
        <v>0</v>
      </c>
    </row>
    <row r="33" spans="1:10" hidden="1">
      <c r="A33" s="24"/>
      <c r="B33" s="39">
        <v>32</v>
      </c>
      <c r="C33" s="87" t="s">
        <v>229</v>
      </c>
      <c r="D33" s="88" t="s">
        <v>255</v>
      </c>
      <c r="E33" s="89" t="s">
        <v>229</v>
      </c>
      <c r="F33" s="90" t="s">
        <v>394</v>
      </c>
      <c r="G33" s="90" t="s">
        <v>394</v>
      </c>
      <c r="H33" s="77"/>
      <c r="I33">
        <f t="shared" si="0"/>
        <v>0</v>
      </c>
    </row>
    <row r="34" spans="1:10" hidden="1">
      <c r="A34" s="24"/>
      <c r="B34" s="39">
        <v>33</v>
      </c>
      <c r="C34" s="84" t="s">
        <v>229</v>
      </c>
      <c r="D34" s="85" t="s">
        <v>255</v>
      </c>
      <c r="E34" s="86" t="s">
        <v>310</v>
      </c>
      <c r="F34" s="77" t="s">
        <v>393</v>
      </c>
      <c r="G34" s="77" t="s">
        <v>394</v>
      </c>
      <c r="H34" s="77"/>
      <c r="I34">
        <f t="shared" si="0"/>
        <v>0</v>
      </c>
    </row>
    <row r="35" spans="1:10">
      <c r="A35" s="24"/>
      <c r="B35" s="39">
        <v>34</v>
      </c>
      <c r="C35" s="78" t="s">
        <v>310</v>
      </c>
      <c r="D35" s="79" t="s">
        <v>255</v>
      </c>
      <c r="E35" s="80" t="s">
        <v>75</v>
      </c>
      <c r="F35" s="77" t="str">
        <f>G10</f>
        <v>YES</v>
      </c>
      <c r="G35" s="77" t="str">
        <f>F10</f>
        <v>YES</v>
      </c>
      <c r="H35" s="77"/>
      <c r="I35">
        <f t="shared" si="0"/>
        <v>1</v>
      </c>
      <c r="J35" s="70" t="str">
        <f>_xlfn.CONCAT(C35,"_",D35,"_",E35)</f>
        <v>PT_DRT_WALK</v>
      </c>
    </row>
    <row r="36" spans="1:10" hidden="1">
      <c r="A36" s="24"/>
      <c r="B36" s="39">
        <v>35</v>
      </c>
      <c r="C36" s="81" t="s">
        <v>310</v>
      </c>
      <c r="D36" s="82" t="s">
        <v>255</v>
      </c>
      <c r="E36" s="83" t="s">
        <v>76</v>
      </c>
      <c r="F36" s="77" t="str">
        <f>G16</f>
        <v>YES</v>
      </c>
      <c r="G36" s="77" t="str">
        <f>F16</f>
        <v>YES</v>
      </c>
      <c r="H36" s="77"/>
      <c r="I36">
        <f t="shared" si="0"/>
        <v>0</v>
      </c>
    </row>
    <row r="37" spans="1:10" hidden="1">
      <c r="A37" s="24"/>
      <c r="B37" s="39">
        <v>36</v>
      </c>
      <c r="C37" s="81" t="s">
        <v>310</v>
      </c>
      <c r="D37" s="82" t="s">
        <v>255</v>
      </c>
      <c r="E37" s="83" t="s">
        <v>77</v>
      </c>
      <c r="F37" s="77" t="str">
        <f>G22</f>
        <v>YES</v>
      </c>
      <c r="G37" s="77" t="str">
        <f>F22</f>
        <v>YES</v>
      </c>
      <c r="H37" s="77"/>
      <c r="I37">
        <f t="shared" si="0"/>
        <v>0</v>
      </c>
    </row>
    <row r="38" spans="1:10" hidden="1">
      <c r="A38" s="24"/>
      <c r="B38" s="39">
        <v>37</v>
      </c>
      <c r="C38" s="81" t="s">
        <v>310</v>
      </c>
      <c r="D38" s="82" t="s">
        <v>255</v>
      </c>
      <c r="E38" s="83" t="s">
        <v>74</v>
      </c>
      <c r="F38" s="77" t="str">
        <f>G28</f>
        <v>NO</v>
      </c>
      <c r="G38" s="77" t="str">
        <f>F28</f>
        <v>YES</v>
      </c>
      <c r="H38" s="77"/>
      <c r="I38">
        <f t="shared" si="0"/>
        <v>0</v>
      </c>
    </row>
    <row r="39" spans="1:10" hidden="1">
      <c r="A39" s="24"/>
      <c r="B39" s="39">
        <v>38</v>
      </c>
      <c r="C39" s="81" t="s">
        <v>310</v>
      </c>
      <c r="D39" s="82" t="s">
        <v>255</v>
      </c>
      <c r="E39" s="83" t="s">
        <v>229</v>
      </c>
      <c r="F39" s="77" t="str">
        <f>G34</f>
        <v>NO</v>
      </c>
      <c r="G39" s="77" t="str">
        <f>F34</f>
        <v>YES</v>
      </c>
      <c r="H39" s="77"/>
      <c r="I39">
        <f t="shared" si="0"/>
        <v>0</v>
      </c>
    </row>
    <row r="40" spans="1:10" hidden="1">
      <c r="A40" s="24"/>
      <c r="B40" s="39">
        <v>39</v>
      </c>
      <c r="C40" s="84" t="s">
        <v>310</v>
      </c>
      <c r="D40" s="85" t="s">
        <v>255</v>
      </c>
      <c r="E40" s="86" t="s">
        <v>310</v>
      </c>
      <c r="F40" s="77" t="s">
        <v>393</v>
      </c>
      <c r="G40" s="77" t="s">
        <v>393</v>
      </c>
      <c r="H40" s="77"/>
      <c r="I40">
        <f t="shared" si="0"/>
        <v>0</v>
      </c>
    </row>
    <row r="41" spans="1:10">
      <c r="A41" s="24"/>
      <c r="B41" s="96">
        <v>40</v>
      </c>
      <c r="C41" s="78" t="s">
        <v>75</v>
      </c>
      <c r="D41" s="79" t="s">
        <v>310</v>
      </c>
      <c r="E41" s="80" t="s">
        <v>75</v>
      </c>
      <c r="F41" s="77" t="s">
        <v>393</v>
      </c>
      <c r="G41" s="77" t="s">
        <v>393</v>
      </c>
      <c r="H41" s="77"/>
      <c r="I41">
        <f t="shared" si="0"/>
        <v>1</v>
      </c>
      <c r="J41" s="70" t="str">
        <f t="shared" ref="J41:J47" si="2">_xlfn.CONCAT(C41,"_",D41,"_",E41)</f>
        <v>WALK_PT_WALK</v>
      </c>
    </row>
    <row r="42" spans="1:10">
      <c r="A42" s="24"/>
      <c r="B42" s="96">
        <v>41</v>
      </c>
      <c r="C42" s="81" t="s">
        <v>75</v>
      </c>
      <c r="D42" s="82" t="s">
        <v>310</v>
      </c>
      <c r="E42" s="83" t="s">
        <v>76</v>
      </c>
      <c r="F42" s="77" t="s">
        <v>393</v>
      </c>
      <c r="G42" s="77" t="s">
        <v>393</v>
      </c>
      <c r="H42" s="77"/>
      <c r="I42">
        <f t="shared" si="0"/>
        <v>1</v>
      </c>
      <c r="J42" s="70" t="str">
        <f t="shared" si="2"/>
        <v>WALK_PT_BIKE</v>
      </c>
    </row>
    <row r="43" spans="1:10">
      <c r="A43" s="24"/>
      <c r="B43" s="39">
        <v>42</v>
      </c>
      <c r="C43" s="81" t="s">
        <v>75</v>
      </c>
      <c r="D43" s="82" t="s">
        <v>310</v>
      </c>
      <c r="E43" s="83" t="s">
        <v>77</v>
      </c>
      <c r="F43" s="77" t="s">
        <v>393</v>
      </c>
      <c r="G43" s="77" t="s">
        <v>393</v>
      </c>
      <c r="H43" s="77"/>
      <c r="I43">
        <f t="shared" si="0"/>
        <v>1</v>
      </c>
      <c r="J43" s="70" t="str">
        <f t="shared" si="2"/>
        <v>WALK_PT_EBIKE</v>
      </c>
    </row>
    <row r="44" spans="1:10">
      <c r="A44" s="24"/>
      <c r="B44" s="1">
        <v>43</v>
      </c>
      <c r="C44" s="81" t="s">
        <v>75</v>
      </c>
      <c r="D44" s="82" t="s">
        <v>310</v>
      </c>
      <c r="E44" s="83" t="s">
        <v>74</v>
      </c>
      <c r="F44" s="77" t="s">
        <v>394</v>
      </c>
      <c r="G44" s="77" t="s">
        <v>393</v>
      </c>
      <c r="H44" s="77"/>
      <c r="I44">
        <f t="shared" si="0"/>
        <v>1</v>
      </c>
      <c r="J44" s="70" t="str">
        <f t="shared" si="2"/>
        <v>WALK_PT_CAR</v>
      </c>
    </row>
    <row r="45" spans="1:10">
      <c r="A45" s="24"/>
      <c r="B45" s="1">
        <v>44</v>
      </c>
      <c r="C45" s="81" t="s">
        <v>75</v>
      </c>
      <c r="D45" s="82" t="s">
        <v>310</v>
      </c>
      <c r="E45" s="83" t="s">
        <v>229</v>
      </c>
      <c r="F45" s="77" t="s">
        <v>394</v>
      </c>
      <c r="G45" s="77" t="s">
        <v>393</v>
      </c>
      <c r="H45" s="77"/>
      <c r="I45">
        <f t="shared" si="0"/>
        <v>1</v>
      </c>
      <c r="J45" s="70" t="str">
        <f t="shared" si="2"/>
        <v>WALK_PT_CP</v>
      </c>
    </row>
    <row r="46" spans="1:10">
      <c r="A46" s="24"/>
      <c r="B46" s="96">
        <v>45</v>
      </c>
      <c r="C46" s="84" t="s">
        <v>75</v>
      </c>
      <c r="D46" s="82" t="s">
        <v>310</v>
      </c>
      <c r="E46" s="86" t="s">
        <v>255</v>
      </c>
      <c r="F46" s="77" t="s">
        <v>393</v>
      </c>
      <c r="G46" s="77" t="s">
        <v>393</v>
      </c>
      <c r="H46" s="77"/>
      <c r="I46">
        <f t="shared" si="0"/>
        <v>1</v>
      </c>
      <c r="J46" s="70" t="str">
        <f t="shared" si="2"/>
        <v>WALK_PT_DRT</v>
      </c>
    </row>
    <row r="47" spans="1:10">
      <c r="A47" s="24"/>
      <c r="B47" s="96">
        <v>46</v>
      </c>
      <c r="C47" s="78" t="s">
        <v>76</v>
      </c>
      <c r="D47" s="79" t="s">
        <v>310</v>
      </c>
      <c r="E47" s="80" t="s">
        <v>75</v>
      </c>
      <c r="F47" s="77" t="str">
        <f>G42</f>
        <v>YES</v>
      </c>
      <c r="G47" s="77" t="str">
        <f>F42</f>
        <v>YES</v>
      </c>
      <c r="H47" s="77"/>
      <c r="I47">
        <f t="shared" si="0"/>
        <v>1</v>
      </c>
      <c r="J47" s="70" t="str">
        <f t="shared" si="2"/>
        <v>BIKE_PT_WALK</v>
      </c>
    </row>
    <row r="48" spans="1:10" hidden="1">
      <c r="A48" s="24"/>
      <c r="B48" s="96">
        <v>47</v>
      </c>
      <c r="C48" s="81" t="s">
        <v>76</v>
      </c>
      <c r="D48" s="82" t="s">
        <v>310</v>
      </c>
      <c r="E48" s="83" t="s">
        <v>76</v>
      </c>
      <c r="F48" s="77" t="s">
        <v>393</v>
      </c>
      <c r="G48" s="77" t="s">
        <v>393</v>
      </c>
      <c r="H48" s="77"/>
      <c r="I48">
        <f t="shared" si="0"/>
        <v>0</v>
      </c>
    </row>
    <row r="49" spans="1:10" hidden="1">
      <c r="A49" s="24"/>
      <c r="B49" s="39">
        <v>48</v>
      </c>
      <c r="C49" s="81" t="s">
        <v>76</v>
      </c>
      <c r="D49" s="82" t="s">
        <v>310</v>
      </c>
      <c r="E49" s="83" t="s">
        <v>77</v>
      </c>
      <c r="F49" s="77" t="s">
        <v>393</v>
      </c>
      <c r="G49" s="77" t="s">
        <v>393</v>
      </c>
      <c r="H49" s="77"/>
      <c r="I49">
        <f t="shared" si="0"/>
        <v>0</v>
      </c>
    </row>
    <row r="50" spans="1:10" hidden="1">
      <c r="A50" s="24"/>
      <c r="B50" s="96">
        <v>49</v>
      </c>
      <c r="C50" s="81" t="s">
        <v>76</v>
      </c>
      <c r="D50" s="82" t="s">
        <v>310</v>
      </c>
      <c r="E50" s="83" t="s">
        <v>74</v>
      </c>
      <c r="F50" s="77" t="s">
        <v>394</v>
      </c>
      <c r="G50" s="77" t="s">
        <v>393</v>
      </c>
      <c r="H50" s="77"/>
      <c r="I50">
        <f t="shared" si="0"/>
        <v>0</v>
      </c>
    </row>
    <row r="51" spans="1:10" hidden="1">
      <c r="A51" s="24"/>
      <c r="B51" s="39">
        <v>50</v>
      </c>
      <c r="C51" s="81" t="s">
        <v>76</v>
      </c>
      <c r="D51" s="82" t="s">
        <v>310</v>
      </c>
      <c r="E51" s="83" t="s">
        <v>229</v>
      </c>
      <c r="F51" s="77" t="s">
        <v>394</v>
      </c>
      <c r="G51" s="77" t="s">
        <v>393</v>
      </c>
      <c r="H51" s="77"/>
      <c r="I51">
        <f t="shared" si="0"/>
        <v>0</v>
      </c>
    </row>
    <row r="52" spans="1:10" hidden="1">
      <c r="A52" s="24"/>
      <c r="B52" s="39">
        <v>51</v>
      </c>
      <c r="C52" s="84" t="s">
        <v>76</v>
      </c>
      <c r="D52" s="85" t="s">
        <v>310</v>
      </c>
      <c r="E52" s="86" t="s">
        <v>255</v>
      </c>
      <c r="F52" s="77" t="s">
        <v>393</v>
      </c>
      <c r="G52" s="77" t="s">
        <v>393</v>
      </c>
      <c r="H52" s="77"/>
      <c r="I52">
        <f t="shared" si="0"/>
        <v>0</v>
      </c>
    </row>
    <row r="53" spans="1:10">
      <c r="A53" s="24"/>
      <c r="B53" s="39">
        <v>52</v>
      </c>
      <c r="C53" s="81" t="s">
        <v>77</v>
      </c>
      <c r="D53" s="82" t="s">
        <v>310</v>
      </c>
      <c r="E53" s="83" t="s">
        <v>75</v>
      </c>
      <c r="F53" s="77" t="s">
        <v>393</v>
      </c>
      <c r="G53" s="77" t="s">
        <v>393</v>
      </c>
      <c r="H53" s="77"/>
      <c r="I53">
        <f t="shared" si="0"/>
        <v>1</v>
      </c>
      <c r="J53" s="70" t="str">
        <f>_xlfn.CONCAT(C53,"_",D53,"_",E53)</f>
        <v>EBIKE_PT_WALK</v>
      </c>
    </row>
    <row r="54" spans="1:10" hidden="1">
      <c r="A54" s="24"/>
      <c r="B54" s="39">
        <v>53</v>
      </c>
      <c r="C54" s="81" t="s">
        <v>77</v>
      </c>
      <c r="D54" s="82" t="s">
        <v>310</v>
      </c>
      <c r="E54" s="83" t="s">
        <v>76</v>
      </c>
      <c r="F54" s="77" t="str">
        <f>G49</f>
        <v>YES</v>
      </c>
      <c r="G54" s="77" t="str">
        <f>F49</f>
        <v>YES</v>
      </c>
      <c r="H54" s="77"/>
      <c r="I54">
        <f t="shared" si="0"/>
        <v>0</v>
      </c>
    </row>
    <row r="55" spans="1:10" hidden="1">
      <c r="A55" s="24"/>
      <c r="B55" s="39">
        <v>54</v>
      </c>
      <c r="C55" s="81" t="s">
        <v>77</v>
      </c>
      <c r="D55" s="82" t="s">
        <v>310</v>
      </c>
      <c r="E55" s="83" t="s">
        <v>77</v>
      </c>
      <c r="F55" s="77" t="s">
        <v>393</v>
      </c>
      <c r="G55" s="77" t="s">
        <v>393</v>
      </c>
      <c r="H55" s="77"/>
      <c r="I55">
        <f t="shared" si="0"/>
        <v>0</v>
      </c>
    </row>
    <row r="56" spans="1:10" hidden="1">
      <c r="A56" s="24"/>
      <c r="B56" s="96">
        <v>55</v>
      </c>
      <c r="C56" s="81" t="s">
        <v>77</v>
      </c>
      <c r="D56" s="82" t="s">
        <v>310</v>
      </c>
      <c r="E56" s="83" t="s">
        <v>74</v>
      </c>
      <c r="F56" s="77" t="s">
        <v>394</v>
      </c>
      <c r="G56" s="77" t="s">
        <v>393</v>
      </c>
      <c r="H56" s="77"/>
      <c r="I56">
        <f t="shared" si="0"/>
        <v>0</v>
      </c>
    </row>
    <row r="57" spans="1:10" hidden="1">
      <c r="A57" s="24"/>
      <c r="B57" s="39">
        <v>56</v>
      </c>
      <c r="C57" s="81" t="s">
        <v>77</v>
      </c>
      <c r="D57" s="82" t="s">
        <v>310</v>
      </c>
      <c r="E57" s="83" t="s">
        <v>229</v>
      </c>
      <c r="F57" s="77" t="s">
        <v>394</v>
      </c>
      <c r="G57" s="77" t="s">
        <v>393</v>
      </c>
      <c r="H57" s="77"/>
      <c r="I57">
        <f t="shared" si="0"/>
        <v>0</v>
      </c>
    </row>
    <row r="58" spans="1:10" hidden="1">
      <c r="A58" s="24"/>
      <c r="B58" s="39">
        <v>57</v>
      </c>
      <c r="C58" s="81" t="s">
        <v>77</v>
      </c>
      <c r="D58" s="82" t="s">
        <v>310</v>
      </c>
      <c r="E58" s="83" t="s">
        <v>255</v>
      </c>
      <c r="F58" s="77" t="s">
        <v>393</v>
      </c>
      <c r="G58" s="77" t="s">
        <v>393</v>
      </c>
      <c r="H58" s="77"/>
      <c r="I58">
        <f t="shared" si="0"/>
        <v>0</v>
      </c>
    </row>
    <row r="59" spans="1:10">
      <c r="A59" s="24"/>
      <c r="B59" s="1">
        <v>58</v>
      </c>
      <c r="C59" s="78" t="s">
        <v>74</v>
      </c>
      <c r="D59" s="79" t="s">
        <v>310</v>
      </c>
      <c r="E59" s="80" t="s">
        <v>75</v>
      </c>
      <c r="F59" s="77" t="str">
        <f>G44</f>
        <v>YES</v>
      </c>
      <c r="G59" s="77" t="str">
        <f>F44</f>
        <v>NO</v>
      </c>
      <c r="H59" s="95"/>
      <c r="I59">
        <f t="shared" si="0"/>
        <v>1</v>
      </c>
      <c r="J59" s="70" t="str">
        <f>_xlfn.CONCAT(C59,"_",D59,"_",E59)</f>
        <v>CAR_PT_WALK</v>
      </c>
    </row>
    <row r="60" spans="1:10" hidden="1">
      <c r="A60" s="24"/>
      <c r="B60" s="96">
        <v>59</v>
      </c>
      <c r="C60" s="81" t="s">
        <v>74</v>
      </c>
      <c r="D60" s="82" t="s">
        <v>310</v>
      </c>
      <c r="E60" s="83" t="s">
        <v>76</v>
      </c>
      <c r="F60" s="77" t="str">
        <f>G50</f>
        <v>YES</v>
      </c>
      <c r="G60" s="77" t="str">
        <f>F50</f>
        <v>NO</v>
      </c>
      <c r="H60" s="95"/>
      <c r="I60">
        <f t="shared" si="0"/>
        <v>0</v>
      </c>
    </row>
    <row r="61" spans="1:10" hidden="1">
      <c r="A61" s="24"/>
      <c r="B61" s="96">
        <v>60</v>
      </c>
      <c r="C61" s="81" t="s">
        <v>74</v>
      </c>
      <c r="D61" s="82" t="s">
        <v>310</v>
      </c>
      <c r="E61" s="83" t="s">
        <v>77</v>
      </c>
      <c r="F61" s="77" t="str">
        <f>G56</f>
        <v>YES</v>
      </c>
      <c r="G61" s="77" t="str">
        <f>F56</f>
        <v>NO</v>
      </c>
      <c r="H61" s="95"/>
      <c r="I61">
        <f t="shared" si="0"/>
        <v>0</v>
      </c>
    </row>
    <row r="62" spans="1:10" hidden="1">
      <c r="A62" s="24"/>
      <c r="B62" s="39">
        <v>61</v>
      </c>
      <c r="C62" s="87" t="s">
        <v>74</v>
      </c>
      <c r="D62" s="88" t="s">
        <v>310</v>
      </c>
      <c r="E62" s="89" t="s">
        <v>74</v>
      </c>
      <c r="F62" s="90" t="s">
        <v>394</v>
      </c>
      <c r="G62" s="90" t="s">
        <v>394</v>
      </c>
      <c r="H62" s="77"/>
      <c r="I62">
        <f t="shared" si="0"/>
        <v>0</v>
      </c>
    </row>
    <row r="63" spans="1:10" hidden="1">
      <c r="A63" s="24"/>
      <c r="B63" s="39">
        <v>62</v>
      </c>
      <c r="C63" s="87" t="s">
        <v>74</v>
      </c>
      <c r="D63" s="88" t="s">
        <v>310</v>
      </c>
      <c r="E63" s="89" t="s">
        <v>229</v>
      </c>
      <c r="F63" s="90" t="s">
        <v>394</v>
      </c>
      <c r="G63" s="90" t="s">
        <v>394</v>
      </c>
      <c r="H63" s="77"/>
      <c r="I63">
        <f t="shared" si="0"/>
        <v>0</v>
      </c>
    </row>
    <row r="64" spans="1:10" hidden="1">
      <c r="A64" s="24"/>
      <c r="B64" s="96">
        <v>63</v>
      </c>
      <c r="C64" s="84" t="s">
        <v>74</v>
      </c>
      <c r="D64" s="85" t="s">
        <v>310</v>
      </c>
      <c r="E64" s="86" t="s">
        <v>255</v>
      </c>
      <c r="F64" s="77" t="s">
        <v>393</v>
      </c>
      <c r="G64" s="77" t="s">
        <v>394</v>
      </c>
      <c r="H64" s="77"/>
      <c r="I64">
        <f t="shared" si="0"/>
        <v>0</v>
      </c>
    </row>
    <row r="65" spans="1:10">
      <c r="A65" s="24"/>
      <c r="B65" s="1">
        <v>64</v>
      </c>
      <c r="C65" s="81" t="s">
        <v>229</v>
      </c>
      <c r="D65" s="82" t="s">
        <v>310</v>
      </c>
      <c r="E65" s="83" t="s">
        <v>75</v>
      </c>
      <c r="F65" s="77" t="str">
        <f>G45</f>
        <v>YES</v>
      </c>
      <c r="G65" s="77" t="str">
        <f>F45</f>
        <v>NO</v>
      </c>
      <c r="H65" s="77"/>
      <c r="I65">
        <f t="shared" si="0"/>
        <v>1</v>
      </c>
      <c r="J65" s="70" t="str">
        <f>_xlfn.CONCAT(C65,"_",D65,"_",E65)</f>
        <v>CP_PT_WALK</v>
      </c>
    </row>
    <row r="66" spans="1:10" hidden="1">
      <c r="A66" s="24"/>
      <c r="B66" s="39">
        <v>65</v>
      </c>
      <c r="C66" s="81" t="s">
        <v>229</v>
      </c>
      <c r="D66" s="82" t="s">
        <v>310</v>
      </c>
      <c r="E66" s="83" t="s">
        <v>76</v>
      </c>
      <c r="F66" s="77" t="str">
        <f>G51</f>
        <v>YES</v>
      </c>
      <c r="G66" s="77" t="str">
        <f>F51</f>
        <v>NO</v>
      </c>
      <c r="H66" s="77"/>
      <c r="I66">
        <f t="shared" si="0"/>
        <v>0</v>
      </c>
    </row>
    <row r="67" spans="1:10" hidden="1">
      <c r="A67" s="24"/>
      <c r="B67" s="39">
        <v>66</v>
      </c>
      <c r="C67" s="81" t="s">
        <v>229</v>
      </c>
      <c r="D67" s="82" t="s">
        <v>310</v>
      </c>
      <c r="E67" s="83" t="s">
        <v>77</v>
      </c>
      <c r="F67" s="77" t="str">
        <f>G57</f>
        <v>YES</v>
      </c>
      <c r="G67" s="77" t="str">
        <f>F57</f>
        <v>NO</v>
      </c>
      <c r="H67" s="77"/>
      <c r="I67">
        <f t="shared" ref="I67:I126" si="3">IF(OR(C67="WALK",E67="WALK"),1,0)</f>
        <v>0</v>
      </c>
    </row>
    <row r="68" spans="1:10" hidden="1">
      <c r="A68" s="24"/>
      <c r="B68" s="39">
        <v>67</v>
      </c>
      <c r="C68" s="87" t="s">
        <v>229</v>
      </c>
      <c r="D68" s="88" t="s">
        <v>310</v>
      </c>
      <c r="E68" s="89" t="s">
        <v>74</v>
      </c>
      <c r="F68" s="90" t="s">
        <v>394</v>
      </c>
      <c r="G68" s="90" t="s">
        <v>394</v>
      </c>
      <c r="H68" s="95"/>
      <c r="I68">
        <f t="shared" si="3"/>
        <v>0</v>
      </c>
    </row>
    <row r="69" spans="1:10" hidden="1">
      <c r="A69" s="24"/>
      <c r="B69" s="39">
        <v>68</v>
      </c>
      <c r="C69" s="87" t="s">
        <v>229</v>
      </c>
      <c r="D69" s="88" t="s">
        <v>310</v>
      </c>
      <c r="E69" s="89" t="s">
        <v>229</v>
      </c>
      <c r="F69" s="90" t="s">
        <v>394</v>
      </c>
      <c r="G69" s="90" t="s">
        <v>394</v>
      </c>
      <c r="H69" s="77"/>
      <c r="I69">
        <f t="shared" si="3"/>
        <v>0</v>
      </c>
    </row>
    <row r="70" spans="1:10" hidden="1">
      <c r="A70" s="24"/>
      <c r="B70" s="39">
        <v>69</v>
      </c>
      <c r="C70" s="81" t="s">
        <v>229</v>
      </c>
      <c r="D70" s="82" t="s">
        <v>310</v>
      </c>
      <c r="E70" s="83" t="s">
        <v>255</v>
      </c>
      <c r="F70" s="77" t="s">
        <v>393</v>
      </c>
      <c r="G70" s="77" t="s">
        <v>394</v>
      </c>
      <c r="H70" s="77"/>
      <c r="I70">
        <f t="shared" si="3"/>
        <v>0</v>
      </c>
    </row>
    <row r="71" spans="1:10">
      <c r="A71" s="24"/>
      <c r="B71" s="96">
        <v>70</v>
      </c>
      <c r="C71" s="78" t="s">
        <v>255</v>
      </c>
      <c r="D71" s="79" t="s">
        <v>310</v>
      </c>
      <c r="E71" s="80" t="s">
        <v>75</v>
      </c>
      <c r="F71" s="77" t="str">
        <f>G46</f>
        <v>YES</v>
      </c>
      <c r="G71" s="77" t="str">
        <f>F46</f>
        <v>YES</v>
      </c>
      <c r="H71" s="77"/>
      <c r="I71">
        <f t="shared" si="3"/>
        <v>1</v>
      </c>
      <c r="J71" s="70" t="str">
        <f>_xlfn.CONCAT(C71,"_",D71,"_",E71)</f>
        <v>DRT_PT_WALK</v>
      </c>
    </row>
    <row r="72" spans="1:10" hidden="1">
      <c r="A72" s="24"/>
      <c r="B72" s="39">
        <v>71</v>
      </c>
      <c r="C72" s="81" t="s">
        <v>255</v>
      </c>
      <c r="D72" s="82" t="s">
        <v>310</v>
      </c>
      <c r="E72" s="83" t="s">
        <v>76</v>
      </c>
      <c r="F72" s="77" t="str">
        <f>G52</f>
        <v>YES</v>
      </c>
      <c r="G72" s="77" t="str">
        <f>F52</f>
        <v>YES</v>
      </c>
      <c r="H72" s="77"/>
      <c r="I72">
        <f t="shared" si="3"/>
        <v>0</v>
      </c>
    </row>
    <row r="73" spans="1:10" hidden="1">
      <c r="A73" s="24"/>
      <c r="B73" s="39">
        <v>72</v>
      </c>
      <c r="C73" s="81" t="s">
        <v>255</v>
      </c>
      <c r="D73" s="82" t="s">
        <v>310</v>
      </c>
      <c r="E73" s="83" t="s">
        <v>77</v>
      </c>
      <c r="F73" s="77" t="str">
        <f>G58</f>
        <v>YES</v>
      </c>
      <c r="G73" s="77" t="str">
        <f>F58</f>
        <v>YES</v>
      </c>
      <c r="H73" s="77"/>
      <c r="I73">
        <f t="shared" si="3"/>
        <v>0</v>
      </c>
    </row>
    <row r="74" spans="1:10" hidden="1">
      <c r="A74" s="24"/>
      <c r="B74" s="96">
        <v>73</v>
      </c>
      <c r="C74" s="81" t="s">
        <v>255</v>
      </c>
      <c r="D74" s="82" t="s">
        <v>310</v>
      </c>
      <c r="E74" s="83" t="s">
        <v>74</v>
      </c>
      <c r="F74" s="77" t="str">
        <f>G64</f>
        <v>NO</v>
      </c>
      <c r="G74" s="77" t="str">
        <f>F64</f>
        <v>YES</v>
      </c>
      <c r="H74" s="77"/>
      <c r="I74">
        <f t="shared" si="3"/>
        <v>0</v>
      </c>
    </row>
    <row r="75" spans="1:10" hidden="1">
      <c r="A75" s="24"/>
      <c r="B75" s="39">
        <v>74</v>
      </c>
      <c r="C75" s="81" t="s">
        <v>255</v>
      </c>
      <c r="D75" s="82" t="s">
        <v>310</v>
      </c>
      <c r="E75" s="83" t="s">
        <v>229</v>
      </c>
      <c r="F75" s="77" t="str">
        <f>G70</f>
        <v>NO</v>
      </c>
      <c r="G75" s="77" t="str">
        <f>F70</f>
        <v>YES</v>
      </c>
      <c r="H75" s="77"/>
      <c r="I75">
        <f t="shared" si="3"/>
        <v>0</v>
      </c>
    </row>
    <row r="76" spans="1:10" hidden="1">
      <c r="A76" s="24"/>
      <c r="B76" s="39">
        <v>75</v>
      </c>
      <c r="C76" s="84" t="s">
        <v>255</v>
      </c>
      <c r="D76" s="85" t="s">
        <v>310</v>
      </c>
      <c r="E76" s="86" t="s">
        <v>255</v>
      </c>
      <c r="F76" s="77" t="s">
        <v>393</v>
      </c>
      <c r="G76" s="77" t="s">
        <v>393</v>
      </c>
      <c r="H76" s="77"/>
      <c r="I76">
        <f t="shared" si="3"/>
        <v>0</v>
      </c>
    </row>
    <row r="77" spans="1:10">
      <c r="A77" s="24"/>
      <c r="B77" s="96">
        <v>76</v>
      </c>
      <c r="C77" s="78" t="s">
        <v>75</v>
      </c>
      <c r="D77" s="79" t="s">
        <v>74</v>
      </c>
      <c r="E77" s="80" t="s">
        <v>75</v>
      </c>
      <c r="F77" s="77" t="s">
        <v>393</v>
      </c>
      <c r="G77" s="77" t="s">
        <v>393</v>
      </c>
      <c r="H77" s="77" t="s">
        <v>402</v>
      </c>
      <c r="I77">
        <f t="shared" si="3"/>
        <v>1</v>
      </c>
      <c r="J77" s="70" t="s">
        <v>74</v>
      </c>
    </row>
    <row r="78" spans="1:10">
      <c r="A78" s="24"/>
      <c r="B78" s="96">
        <v>77</v>
      </c>
      <c r="C78" s="81" t="s">
        <v>75</v>
      </c>
      <c r="D78" s="82" t="s">
        <v>74</v>
      </c>
      <c r="E78" s="83" t="s">
        <v>76</v>
      </c>
      <c r="F78" s="77" t="s">
        <v>393</v>
      </c>
      <c r="G78" s="77" t="s">
        <v>394</v>
      </c>
      <c r="H78" s="77" t="s">
        <v>402</v>
      </c>
      <c r="I78">
        <f t="shared" si="3"/>
        <v>1</v>
      </c>
      <c r="J78" s="70" t="str">
        <f t="shared" ref="J78:J82" si="4">_xlfn.CONCAT(C78,"_",D78,"_",E78)</f>
        <v>WALK_CAR_BIKE</v>
      </c>
    </row>
    <row r="79" spans="1:10">
      <c r="A79" s="24"/>
      <c r="B79" s="96">
        <v>78</v>
      </c>
      <c r="C79" s="81" t="s">
        <v>75</v>
      </c>
      <c r="D79" s="82" t="s">
        <v>74</v>
      </c>
      <c r="E79" s="83" t="s">
        <v>77</v>
      </c>
      <c r="F79" s="77" t="s">
        <v>393</v>
      </c>
      <c r="G79" s="77" t="s">
        <v>394</v>
      </c>
      <c r="H79" s="77" t="s">
        <v>402</v>
      </c>
      <c r="I79">
        <f t="shared" si="3"/>
        <v>1</v>
      </c>
      <c r="J79" s="70" t="str">
        <f t="shared" si="4"/>
        <v>WALK_CAR_EBIKE</v>
      </c>
    </row>
    <row r="80" spans="1:10">
      <c r="B80" s="96">
        <v>79</v>
      </c>
      <c r="C80" s="81" t="s">
        <v>75</v>
      </c>
      <c r="D80" s="82" t="s">
        <v>74</v>
      </c>
      <c r="E80" s="83" t="s">
        <v>255</v>
      </c>
      <c r="F80" s="77" t="s">
        <v>393</v>
      </c>
      <c r="G80" s="77" t="s">
        <v>394</v>
      </c>
      <c r="H80" s="77"/>
      <c r="I80">
        <f t="shared" si="3"/>
        <v>1</v>
      </c>
      <c r="J80" s="70" t="str">
        <f t="shared" si="4"/>
        <v>WALK_CAR_DRT</v>
      </c>
    </row>
    <row r="81" spans="2:10">
      <c r="B81" s="96">
        <v>80</v>
      </c>
      <c r="C81" s="84" t="s">
        <v>75</v>
      </c>
      <c r="D81" s="85" t="s">
        <v>74</v>
      </c>
      <c r="E81" s="86" t="s">
        <v>310</v>
      </c>
      <c r="F81" s="77" t="s">
        <v>393</v>
      </c>
      <c r="G81" s="77" t="s">
        <v>394</v>
      </c>
      <c r="H81" s="70" t="s">
        <v>402</v>
      </c>
      <c r="I81">
        <f t="shared" si="3"/>
        <v>1</v>
      </c>
      <c r="J81" s="70" t="str">
        <f t="shared" si="4"/>
        <v>WALK_CAR_PT</v>
      </c>
    </row>
    <row r="82" spans="2:10">
      <c r="B82" s="96">
        <v>81</v>
      </c>
      <c r="C82" s="78" t="s">
        <v>76</v>
      </c>
      <c r="D82" s="79" t="s">
        <v>74</v>
      </c>
      <c r="E82" s="80" t="s">
        <v>75</v>
      </c>
      <c r="F82" s="77" t="str">
        <f>G78</f>
        <v>NO</v>
      </c>
      <c r="G82" s="77" t="str">
        <f>F78</f>
        <v>YES</v>
      </c>
      <c r="I82">
        <f t="shared" si="3"/>
        <v>1</v>
      </c>
      <c r="J82" s="70" t="str">
        <f t="shared" si="4"/>
        <v>BIKE_CAR_WALK</v>
      </c>
    </row>
    <row r="83" spans="2:10" hidden="1">
      <c r="B83" s="39">
        <v>82</v>
      </c>
      <c r="C83" s="87" t="s">
        <v>76</v>
      </c>
      <c r="D83" s="88" t="s">
        <v>74</v>
      </c>
      <c r="E83" s="89" t="s">
        <v>76</v>
      </c>
      <c r="F83" s="90" t="s">
        <v>394</v>
      </c>
      <c r="G83" s="90" t="s">
        <v>394</v>
      </c>
      <c r="H83" s="95"/>
      <c r="I83">
        <f t="shared" si="3"/>
        <v>0</v>
      </c>
    </row>
    <row r="84" spans="2:10" hidden="1">
      <c r="B84" s="39">
        <v>83</v>
      </c>
      <c r="C84" s="87" t="s">
        <v>76</v>
      </c>
      <c r="D84" s="88" t="s">
        <v>74</v>
      </c>
      <c r="E84" s="89" t="s">
        <v>77</v>
      </c>
      <c r="F84" s="90" t="s">
        <v>394</v>
      </c>
      <c r="G84" s="90" t="s">
        <v>394</v>
      </c>
      <c r="H84" s="95"/>
      <c r="I84">
        <f t="shared" si="3"/>
        <v>0</v>
      </c>
    </row>
    <row r="85" spans="2:10" hidden="1">
      <c r="B85" s="39">
        <v>84</v>
      </c>
      <c r="C85" s="87" t="s">
        <v>76</v>
      </c>
      <c r="D85" s="88" t="s">
        <v>74</v>
      </c>
      <c r="E85" s="89" t="s">
        <v>255</v>
      </c>
      <c r="F85" s="90" t="s">
        <v>394</v>
      </c>
      <c r="G85" s="90" t="s">
        <v>394</v>
      </c>
      <c r="H85" s="95"/>
      <c r="I85">
        <f t="shared" si="3"/>
        <v>0</v>
      </c>
    </row>
    <row r="86" spans="2:10" hidden="1">
      <c r="B86" s="39">
        <v>85</v>
      </c>
      <c r="C86" s="87" t="s">
        <v>76</v>
      </c>
      <c r="D86" s="88" t="s">
        <v>74</v>
      </c>
      <c r="E86" s="91" t="s">
        <v>310</v>
      </c>
      <c r="F86" s="90" t="s">
        <v>394</v>
      </c>
      <c r="G86" s="90" t="s">
        <v>394</v>
      </c>
      <c r="H86" s="95"/>
      <c r="I86">
        <f t="shared" si="3"/>
        <v>0</v>
      </c>
    </row>
    <row r="87" spans="2:10">
      <c r="B87" s="96">
        <v>86</v>
      </c>
      <c r="C87" s="78" t="s">
        <v>77</v>
      </c>
      <c r="D87" s="79" t="s">
        <v>74</v>
      </c>
      <c r="E87" s="80" t="s">
        <v>75</v>
      </c>
      <c r="F87" s="77" t="str">
        <f>G79</f>
        <v>NO</v>
      </c>
      <c r="G87" s="77" t="str">
        <f>F79</f>
        <v>YES</v>
      </c>
      <c r="I87">
        <f t="shared" si="3"/>
        <v>1</v>
      </c>
      <c r="J87" s="70" t="str">
        <f>_xlfn.CONCAT(C87,"_",D87,"_",E87)</f>
        <v>EBIKE_CAR_WALK</v>
      </c>
    </row>
    <row r="88" spans="2:10" hidden="1">
      <c r="B88" s="39">
        <v>87</v>
      </c>
      <c r="C88" s="87" t="s">
        <v>77</v>
      </c>
      <c r="D88" s="88" t="s">
        <v>74</v>
      </c>
      <c r="E88" s="89" t="s">
        <v>76</v>
      </c>
      <c r="F88" s="90" t="s">
        <v>394</v>
      </c>
      <c r="G88" s="90" t="s">
        <v>394</v>
      </c>
      <c r="H88" s="95"/>
      <c r="I88">
        <f t="shared" si="3"/>
        <v>0</v>
      </c>
    </row>
    <row r="89" spans="2:10" hidden="1">
      <c r="B89" s="39">
        <v>88</v>
      </c>
      <c r="C89" s="87" t="s">
        <v>77</v>
      </c>
      <c r="D89" s="88" t="s">
        <v>74</v>
      </c>
      <c r="E89" s="89" t="s">
        <v>77</v>
      </c>
      <c r="F89" s="90" t="s">
        <v>394</v>
      </c>
      <c r="G89" s="90" t="s">
        <v>394</v>
      </c>
      <c r="H89" s="95"/>
      <c r="I89">
        <f t="shared" si="3"/>
        <v>0</v>
      </c>
    </row>
    <row r="90" spans="2:10" hidden="1">
      <c r="B90" s="39">
        <v>89</v>
      </c>
      <c r="C90" s="87" t="s">
        <v>77</v>
      </c>
      <c r="D90" s="88" t="s">
        <v>74</v>
      </c>
      <c r="E90" s="89" t="s">
        <v>255</v>
      </c>
      <c r="F90" s="90" t="s">
        <v>394</v>
      </c>
      <c r="G90" s="90" t="s">
        <v>394</v>
      </c>
      <c r="H90" s="95"/>
      <c r="I90">
        <f t="shared" si="3"/>
        <v>0</v>
      </c>
    </row>
    <row r="91" spans="2:10" hidden="1">
      <c r="B91" s="39">
        <v>90</v>
      </c>
      <c r="C91" s="92" t="s">
        <v>77</v>
      </c>
      <c r="D91" s="93" t="s">
        <v>74</v>
      </c>
      <c r="E91" s="91" t="s">
        <v>310</v>
      </c>
      <c r="F91" s="90" t="s">
        <v>394</v>
      </c>
      <c r="G91" s="90" t="s">
        <v>394</v>
      </c>
      <c r="H91" s="95"/>
      <c r="I91">
        <f t="shared" si="3"/>
        <v>0</v>
      </c>
    </row>
    <row r="92" spans="2:10">
      <c r="B92" s="96">
        <v>91</v>
      </c>
      <c r="C92" s="78" t="s">
        <v>255</v>
      </c>
      <c r="D92" s="79" t="s">
        <v>74</v>
      </c>
      <c r="E92" s="80" t="s">
        <v>75</v>
      </c>
      <c r="F92" s="77" t="str">
        <f>G80</f>
        <v>NO</v>
      </c>
      <c r="G92" s="77" t="str">
        <f>F80</f>
        <v>YES</v>
      </c>
      <c r="H92" s="95"/>
      <c r="I92">
        <f t="shared" si="3"/>
        <v>1</v>
      </c>
      <c r="J92" s="70" t="str">
        <f>_xlfn.CONCAT(C92,"_",D92,"_",E92)</f>
        <v>DRT_CAR_WALK</v>
      </c>
    </row>
    <row r="93" spans="2:10" hidden="1">
      <c r="B93" s="39">
        <v>92</v>
      </c>
      <c r="C93" s="87" t="s">
        <v>255</v>
      </c>
      <c r="D93" s="88" t="s">
        <v>74</v>
      </c>
      <c r="E93" s="89" t="s">
        <v>76</v>
      </c>
      <c r="F93" s="90" t="s">
        <v>394</v>
      </c>
      <c r="G93" s="90" t="s">
        <v>394</v>
      </c>
      <c r="H93" s="95"/>
      <c r="I93">
        <f t="shared" si="3"/>
        <v>0</v>
      </c>
    </row>
    <row r="94" spans="2:10" hidden="1">
      <c r="B94" s="39">
        <v>93</v>
      </c>
      <c r="C94" s="87" t="s">
        <v>255</v>
      </c>
      <c r="D94" s="88" t="s">
        <v>74</v>
      </c>
      <c r="E94" s="89" t="s">
        <v>77</v>
      </c>
      <c r="F94" s="90" t="s">
        <v>394</v>
      </c>
      <c r="G94" s="90" t="s">
        <v>394</v>
      </c>
      <c r="H94" s="95"/>
      <c r="I94">
        <f t="shared" si="3"/>
        <v>0</v>
      </c>
    </row>
    <row r="95" spans="2:10" hidden="1">
      <c r="B95" s="39">
        <v>94</v>
      </c>
      <c r="C95" s="87" t="s">
        <v>255</v>
      </c>
      <c r="D95" s="88" t="s">
        <v>74</v>
      </c>
      <c r="E95" s="89" t="s">
        <v>255</v>
      </c>
      <c r="F95" s="90" t="s">
        <v>394</v>
      </c>
      <c r="G95" s="90" t="s">
        <v>394</v>
      </c>
      <c r="H95" s="95"/>
      <c r="I95">
        <f t="shared" si="3"/>
        <v>0</v>
      </c>
    </row>
    <row r="96" spans="2:10" hidden="1">
      <c r="B96" s="39">
        <v>95</v>
      </c>
      <c r="C96" s="92" t="s">
        <v>255</v>
      </c>
      <c r="D96" s="93" t="s">
        <v>74</v>
      </c>
      <c r="E96" s="91" t="s">
        <v>310</v>
      </c>
      <c r="F96" s="90" t="s">
        <v>394</v>
      </c>
      <c r="G96" s="90" t="s">
        <v>394</v>
      </c>
      <c r="H96" s="95"/>
      <c r="I96">
        <f t="shared" si="3"/>
        <v>0</v>
      </c>
    </row>
    <row r="97" spans="2:10">
      <c r="B97" s="96">
        <v>96</v>
      </c>
      <c r="C97" s="78" t="s">
        <v>310</v>
      </c>
      <c r="D97" s="79" t="s">
        <v>74</v>
      </c>
      <c r="E97" s="80" t="s">
        <v>75</v>
      </c>
      <c r="F97" s="77" t="str">
        <f>G81</f>
        <v>NO</v>
      </c>
      <c r="G97" s="77" t="str">
        <f>F81</f>
        <v>YES</v>
      </c>
      <c r="H97" s="95"/>
      <c r="I97">
        <f t="shared" si="3"/>
        <v>1</v>
      </c>
      <c r="J97" s="70" t="str">
        <f>_xlfn.CONCAT(C97,"_",D97,"_",E97)</f>
        <v>PT_CAR_WALK</v>
      </c>
    </row>
    <row r="98" spans="2:10" hidden="1">
      <c r="B98" s="39">
        <v>97</v>
      </c>
      <c r="C98" s="87" t="s">
        <v>310</v>
      </c>
      <c r="D98" s="88" t="s">
        <v>74</v>
      </c>
      <c r="E98" s="89" t="s">
        <v>76</v>
      </c>
      <c r="F98" s="90" t="s">
        <v>394</v>
      </c>
      <c r="G98" s="90" t="s">
        <v>394</v>
      </c>
      <c r="H98" s="95"/>
      <c r="I98">
        <f t="shared" si="3"/>
        <v>0</v>
      </c>
    </row>
    <row r="99" spans="2:10" hidden="1">
      <c r="B99" s="39">
        <v>98</v>
      </c>
      <c r="C99" s="87" t="s">
        <v>310</v>
      </c>
      <c r="D99" s="88" t="s">
        <v>74</v>
      </c>
      <c r="E99" s="89" t="s">
        <v>77</v>
      </c>
      <c r="F99" s="90" t="s">
        <v>394</v>
      </c>
      <c r="G99" s="90" t="s">
        <v>394</v>
      </c>
      <c r="H99" s="95"/>
      <c r="I99">
        <f t="shared" si="3"/>
        <v>0</v>
      </c>
    </row>
    <row r="100" spans="2:10" hidden="1">
      <c r="B100" s="39">
        <v>99</v>
      </c>
      <c r="C100" s="87" t="s">
        <v>310</v>
      </c>
      <c r="D100" s="88" t="s">
        <v>74</v>
      </c>
      <c r="E100" s="89" t="s">
        <v>255</v>
      </c>
      <c r="F100" s="90" t="s">
        <v>394</v>
      </c>
      <c r="G100" s="90" t="s">
        <v>394</v>
      </c>
      <c r="H100" s="95"/>
      <c r="I100">
        <f t="shared" si="3"/>
        <v>0</v>
      </c>
    </row>
    <row r="101" spans="2:10" hidden="1">
      <c r="B101" s="39">
        <v>100</v>
      </c>
      <c r="C101" s="92" t="s">
        <v>310</v>
      </c>
      <c r="D101" s="93" t="s">
        <v>74</v>
      </c>
      <c r="E101" s="91" t="s">
        <v>310</v>
      </c>
      <c r="F101" s="90" t="s">
        <v>394</v>
      </c>
      <c r="G101" s="90" t="s">
        <v>394</v>
      </c>
      <c r="H101" s="95"/>
      <c r="I101">
        <f t="shared" si="3"/>
        <v>0</v>
      </c>
    </row>
    <row r="102" spans="2:10">
      <c r="B102" s="96">
        <v>101</v>
      </c>
      <c r="C102" s="78" t="s">
        <v>75</v>
      </c>
      <c r="D102" s="79" t="s">
        <v>229</v>
      </c>
      <c r="E102" s="80" t="s">
        <v>75</v>
      </c>
      <c r="F102" s="77" t="s">
        <v>393</v>
      </c>
      <c r="G102" s="77" t="s">
        <v>393</v>
      </c>
      <c r="H102" s="77"/>
      <c r="I102">
        <f t="shared" si="3"/>
        <v>1</v>
      </c>
      <c r="J102" s="70" t="s">
        <v>229</v>
      </c>
    </row>
    <row r="103" spans="2:10">
      <c r="B103" s="96">
        <v>102</v>
      </c>
      <c r="C103" s="81" t="s">
        <v>75</v>
      </c>
      <c r="D103" s="82" t="s">
        <v>229</v>
      </c>
      <c r="E103" s="83" t="s">
        <v>76</v>
      </c>
      <c r="F103" s="77" t="s">
        <v>393</v>
      </c>
      <c r="G103" s="70" t="s">
        <v>393</v>
      </c>
      <c r="I103">
        <f t="shared" si="3"/>
        <v>1</v>
      </c>
      <c r="J103" s="70" t="str">
        <f t="shared" ref="J103:J107" si="5">_xlfn.CONCAT(C103,"_",D103,"_",E103)</f>
        <v>WALK_CP_BIKE</v>
      </c>
    </row>
    <row r="104" spans="2:10">
      <c r="B104" s="96">
        <v>103</v>
      </c>
      <c r="C104" s="81" t="s">
        <v>75</v>
      </c>
      <c r="D104" s="82" t="s">
        <v>229</v>
      </c>
      <c r="E104" s="83" t="s">
        <v>77</v>
      </c>
      <c r="F104" s="77" t="s">
        <v>393</v>
      </c>
      <c r="G104" s="70" t="s">
        <v>393</v>
      </c>
      <c r="I104">
        <f t="shared" si="3"/>
        <v>1</v>
      </c>
      <c r="J104" s="70" t="str">
        <f t="shared" si="5"/>
        <v>WALK_CP_EBIKE</v>
      </c>
    </row>
    <row r="105" spans="2:10">
      <c r="B105" s="96">
        <v>104</v>
      </c>
      <c r="C105" s="81" t="s">
        <v>75</v>
      </c>
      <c r="D105" s="82" t="s">
        <v>229</v>
      </c>
      <c r="E105" s="83" t="s">
        <v>255</v>
      </c>
      <c r="F105" s="77" t="s">
        <v>393</v>
      </c>
      <c r="G105" s="70" t="s">
        <v>393</v>
      </c>
      <c r="I105">
        <f t="shared" si="3"/>
        <v>1</v>
      </c>
      <c r="J105" s="70" t="str">
        <f t="shared" si="5"/>
        <v>WALK_CP_DRT</v>
      </c>
    </row>
    <row r="106" spans="2:10">
      <c r="B106" s="96">
        <v>105</v>
      </c>
      <c r="C106" s="84" t="s">
        <v>75</v>
      </c>
      <c r="D106" s="85" t="s">
        <v>229</v>
      </c>
      <c r="E106" s="86" t="s">
        <v>310</v>
      </c>
      <c r="F106" s="77" t="s">
        <v>393</v>
      </c>
      <c r="G106" s="77" t="s">
        <v>393</v>
      </c>
      <c r="H106" s="77"/>
      <c r="I106">
        <f t="shared" si="3"/>
        <v>1</v>
      </c>
      <c r="J106" s="70" t="str">
        <f t="shared" si="5"/>
        <v>WALK_CP_PT</v>
      </c>
    </row>
    <row r="107" spans="2:10">
      <c r="B107" s="96">
        <v>106</v>
      </c>
      <c r="C107" s="78" t="s">
        <v>76</v>
      </c>
      <c r="D107" s="79" t="s">
        <v>229</v>
      </c>
      <c r="E107" s="80" t="s">
        <v>75</v>
      </c>
      <c r="F107" s="70" t="str">
        <f>G103</f>
        <v>YES</v>
      </c>
      <c r="G107" s="70" t="str">
        <f>F103</f>
        <v>YES</v>
      </c>
      <c r="I107">
        <f t="shared" si="3"/>
        <v>1</v>
      </c>
      <c r="J107" s="70" t="str">
        <f t="shared" si="5"/>
        <v>BIKE_CP_WALK</v>
      </c>
    </row>
    <row r="108" spans="2:10" hidden="1">
      <c r="B108" s="39">
        <v>107</v>
      </c>
      <c r="C108" s="81" t="s">
        <v>76</v>
      </c>
      <c r="D108" s="82" t="s">
        <v>229</v>
      </c>
      <c r="E108" s="83" t="s">
        <v>76</v>
      </c>
      <c r="F108" s="70" t="s">
        <v>393</v>
      </c>
      <c r="G108" s="70" t="s">
        <v>393</v>
      </c>
      <c r="I108">
        <f t="shared" si="3"/>
        <v>0</v>
      </c>
    </row>
    <row r="109" spans="2:10" hidden="1">
      <c r="B109" s="39">
        <v>108</v>
      </c>
      <c r="C109" s="81" t="s">
        <v>76</v>
      </c>
      <c r="D109" s="82" t="s">
        <v>229</v>
      </c>
      <c r="E109" s="83" t="s">
        <v>77</v>
      </c>
      <c r="F109" s="70" t="s">
        <v>393</v>
      </c>
      <c r="G109" s="70" t="s">
        <v>393</v>
      </c>
      <c r="I109">
        <f t="shared" si="3"/>
        <v>0</v>
      </c>
    </row>
    <row r="110" spans="2:10" hidden="1">
      <c r="B110" s="39">
        <v>109</v>
      </c>
      <c r="C110" s="81" t="s">
        <v>76</v>
      </c>
      <c r="D110" s="82" t="s">
        <v>229</v>
      </c>
      <c r="E110" s="83" t="s">
        <v>255</v>
      </c>
      <c r="F110" s="70" t="s">
        <v>393</v>
      </c>
      <c r="G110" s="70" t="s">
        <v>393</v>
      </c>
      <c r="I110">
        <f t="shared" si="3"/>
        <v>0</v>
      </c>
    </row>
    <row r="111" spans="2:10" hidden="1">
      <c r="B111" s="39">
        <v>110</v>
      </c>
      <c r="C111" s="81" t="s">
        <v>76</v>
      </c>
      <c r="D111" s="82" t="s">
        <v>229</v>
      </c>
      <c r="E111" s="86" t="s">
        <v>310</v>
      </c>
      <c r="F111" s="70" t="s">
        <v>393</v>
      </c>
      <c r="G111" s="70" t="s">
        <v>393</v>
      </c>
      <c r="I111">
        <f t="shared" si="3"/>
        <v>0</v>
      </c>
    </row>
    <row r="112" spans="2:10">
      <c r="B112" s="96">
        <v>111</v>
      </c>
      <c r="C112" s="78" t="s">
        <v>77</v>
      </c>
      <c r="D112" s="79" t="s">
        <v>229</v>
      </c>
      <c r="E112" s="80" t="s">
        <v>75</v>
      </c>
      <c r="F112" s="70" t="str">
        <f>G104</f>
        <v>YES</v>
      </c>
      <c r="G112" s="70" t="str">
        <f>F104</f>
        <v>YES</v>
      </c>
      <c r="H112" s="77"/>
      <c r="I112">
        <f t="shared" si="3"/>
        <v>1</v>
      </c>
      <c r="J112" s="70" t="str">
        <f>_xlfn.CONCAT(C112,"_",D112,"_",E112)</f>
        <v>EBIKE_CP_WALK</v>
      </c>
    </row>
    <row r="113" spans="2:10" hidden="1">
      <c r="B113" s="39">
        <v>112</v>
      </c>
      <c r="C113" s="81" t="s">
        <v>77</v>
      </c>
      <c r="D113" s="82" t="s">
        <v>229</v>
      </c>
      <c r="E113" s="83" t="s">
        <v>76</v>
      </c>
      <c r="F113" s="70" t="s">
        <v>393</v>
      </c>
      <c r="G113" s="70" t="s">
        <v>393</v>
      </c>
      <c r="I113">
        <f t="shared" si="3"/>
        <v>0</v>
      </c>
    </row>
    <row r="114" spans="2:10" hidden="1">
      <c r="B114" s="39">
        <v>113</v>
      </c>
      <c r="C114" s="81" t="s">
        <v>77</v>
      </c>
      <c r="D114" s="82" t="s">
        <v>229</v>
      </c>
      <c r="E114" s="83" t="s">
        <v>77</v>
      </c>
      <c r="F114" s="70" t="s">
        <v>393</v>
      </c>
      <c r="G114" s="70" t="s">
        <v>393</v>
      </c>
      <c r="I114">
        <f t="shared" si="3"/>
        <v>0</v>
      </c>
    </row>
    <row r="115" spans="2:10" hidden="1">
      <c r="B115" s="39">
        <v>114</v>
      </c>
      <c r="C115" s="81" t="s">
        <v>77</v>
      </c>
      <c r="D115" s="82" t="s">
        <v>229</v>
      </c>
      <c r="E115" s="83" t="s">
        <v>255</v>
      </c>
      <c r="F115" s="70" t="s">
        <v>393</v>
      </c>
      <c r="G115" s="70" t="s">
        <v>393</v>
      </c>
      <c r="I115">
        <f t="shared" si="3"/>
        <v>0</v>
      </c>
    </row>
    <row r="116" spans="2:10" hidden="1">
      <c r="B116" s="39">
        <v>115</v>
      </c>
      <c r="C116" s="84" t="s">
        <v>77</v>
      </c>
      <c r="D116" s="85" t="s">
        <v>229</v>
      </c>
      <c r="E116" s="86" t="s">
        <v>310</v>
      </c>
      <c r="F116" s="70" t="s">
        <v>393</v>
      </c>
      <c r="G116" s="70" t="s">
        <v>393</v>
      </c>
      <c r="I116">
        <f t="shared" si="3"/>
        <v>0</v>
      </c>
    </row>
    <row r="117" spans="2:10">
      <c r="B117" s="96">
        <v>116</v>
      </c>
      <c r="C117" s="78" t="s">
        <v>255</v>
      </c>
      <c r="D117" s="79" t="s">
        <v>229</v>
      </c>
      <c r="E117" s="80" t="s">
        <v>75</v>
      </c>
      <c r="F117" s="70" t="str">
        <f>G105</f>
        <v>YES</v>
      </c>
      <c r="G117" s="70" t="str">
        <f>F105</f>
        <v>YES</v>
      </c>
      <c r="I117">
        <f t="shared" si="3"/>
        <v>1</v>
      </c>
      <c r="J117" s="70" t="str">
        <f>_xlfn.CONCAT(C117,"_",D117,"_",E117)</f>
        <v>DRT_CP_WALK</v>
      </c>
    </row>
    <row r="118" spans="2:10" hidden="1">
      <c r="B118" s="39">
        <v>117</v>
      </c>
      <c r="C118" s="81" t="s">
        <v>255</v>
      </c>
      <c r="D118" s="82" t="s">
        <v>229</v>
      </c>
      <c r="E118" s="83" t="s">
        <v>76</v>
      </c>
      <c r="F118" s="70" t="s">
        <v>393</v>
      </c>
      <c r="G118" s="70" t="s">
        <v>393</v>
      </c>
      <c r="I118">
        <f t="shared" si="3"/>
        <v>0</v>
      </c>
    </row>
    <row r="119" spans="2:10" hidden="1">
      <c r="B119" s="39">
        <v>118</v>
      </c>
      <c r="C119" s="81" t="s">
        <v>255</v>
      </c>
      <c r="D119" s="82" t="s">
        <v>229</v>
      </c>
      <c r="E119" s="83" t="s">
        <v>77</v>
      </c>
      <c r="F119" s="70" t="s">
        <v>393</v>
      </c>
      <c r="G119" s="70" t="s">
        <v>393</v>
      </c>
      <c r="I119">
        <f t="shared" si="3"/>
        <v>0</v>
      </c>
    </row>
    <row r="120" spans="2:10" hidden="1">
      <c r="B120" s="39">
        <v>119</v>
      </c>
      <c r="C120" s="81" t="s">
        <v>255</v>
      </c>
      <c r="D120" s="82" t="s">
        <v>229</v>
      </c>
      <c r="E120" s="83" t="s">
        <v>255</v>
      </c>
      <c r="F120" s="70" t="s">
        <v>393</v>
      </c>
      <c r="G120" s="70" t="s">
        <v>393</v>
      </c>
      <c r="I120">
        <f t="shared" si="3"/>
        <v>0</v>
      </c>
    </row>
    <row r="121" spans="2:10" hidden="1">
      <c r="B121" s="39">
        <v>120</v>
      </c>
      <c r="C121" s="84" t="s">
        <v>255</v>
      </c>
      <c r="D121" s="85" t="s">
        <v>229</v>
      </c>
      <c r="E121" s="86" t="s">
        <v>310</v>
      </c>
      <c r="F121" s="70" t="s">
        <v>393</v>
      </c>
      <c r="G121" s="70" t="s">
        <v>393</v>
      </c>
      <c r="I121">
        <f t="shared" si="3"/>
        <v>0</v>
      </c>
    </row>
    <row r="122" spans="2:10">
      <c r="B122" s="96">
        <v>121</v>
      </c>
      <c r="C122" s="78" t="s">
        <v>310</v>
      </c>
      <c r="D122" s="79" t="s">
        <v>229</v>
      </c>
      <c r="E122" s="80" t="s">
        <v>75</v>
      </c>
      <c r="F122" s="70" t="s">
        <v>393</v>
      </c>
      <c r="G122" s="70" t="s">
        <v>393</v>
      </c>
      <c r="H122" s="77"/>
      <c r="I122">
        <f t="shared" si="3"/>
        <v>1</v>
      </c>
      <c r="J122" s="70" t="str">
        <f>_xlfn.CONCAT(C122,"_",D122,"_",E122)</f>
        <v>PT_CP_WALK</v>
      </c>
    </row>
    <row r="123" spans="2:10" hidden="1">
      <c r="B123" s="39">
        <v>122</v>
      </c>
      <c r="C123" s="81" t="s">
        <v>310</v>
      </c>
      <c r="D123" s="82" t="s">
        <v>229</v>
      </c>
      <c r="E123" s="83" t="s">
        <v>76</v>
      </c>
      <c r="F123" s="70" t="s">
        <v>393</v>
      </c>
      <c r="G123" s="70" t="s">
        <v>393</v>
      </c>
      <c r="I123">
        <f t="shared" si="3"/>
        <v>0</v>
      </c>
    </row>
    <row r="124" spans="2:10" hidden="1">
      <c r="B124" s="39">
        <v>123</v>
      </c>
      <c r="C124" s="81" t="s">
        <v>310</v>
      </c>
      <c r="D124" s="82" t="s">
        <v>229</v>
      </c>
      <c r="E124" s="83" t="s">
        <v>77</v>
      </c>
      <c r="F124" s="70" t="s">
        <v>393</v>
      </c>
      <c r="G124" s="70" t="s">
        <v>393</v>
      </c>
      <c r="I124">
        <f t="shared" si="3"/>
        <v>0</v>
      </c>
    </row>
    <row r="125" spans="2:10" hidden="1">
      <c r="B125" s="39">
        <v>124</v>
      </c>
      <c r="C125" s="81" t="s">
        <v>310</v>
      </c>
      <c r="D125" s="82" t="s">
        <v>229</v>
      </c>
      <c r="E125" s="83" t="s">
        <v>255</v>
      </c>
      <c r="F125" s="70" t="str">
        <f>G121</f>
        <v>YES</v>
      </c>
      <c r="G125" s="70" t="str">
        <f>F121</f>
        <v>YES</v>
      </c>
      <c r="I125">
        <f t="shared" si="3"/>
        <v>0</v>
      </c>
    </row>
    <row r="126" spans="2:10" hidden="1">
      <c r="B126" s="39">
        <v>125</v>
      </c>
      <c r="C126" s="84" t="s">
        <v>310</v>
      </c>
      <c r="D126" s="85" t="s">
        <v>229</v>
      </c>
      <c r="E126" s="86" t="s">
        <v>310</v>
      </c>
      <c r="F126" s="70" t="s">
        <v>393</v>
      </c>
      <c r="G126" s="70" t="s">
        <v>393</v>
      </c>
      <c r="I126">
        <f t="shared" si="3"/>
        <v>0</v>
      </c>
    </row>
    <row r="127" spans="2:10" hidden="1"/>
    <row r="128" spans="2:10" hidden="1">
      <c r="E128" s="70" t="s">
        <v>395</v>
      </c>
      <c r="F128" s="77">
        <f>COUNTIF(F2:F126,"YES")</f>
        <v>82</v>
      </c>
      <c r="G128" s="77">
        <f>COUNTIF(G2:G126,"YES")</f>
        <v>81</v>
      </c>
      <c r="H128" s="70" t="s">
        <v>403</v>
      </c>
    </row>
    <row r="129" spans="5:8" hidden="1">
      <c r="E129" s="70" t="s">
        <v>396</v>
      </c>
      <c r="F129" s="77">
        <f>COUNTIF(F2:F126,"NO")</f>
        <v>43</v>
      </c>
      <c r="G129" s="77">
        <f>COUNTIF(G2:G126,"NO")</f>
        <v>44</v>
      </c>
      <c r="H129" s="70" t="s">
        <v>403</v>
      </c>
    </row>
  </sheetData>
  <autoFilter ref="I1:I129" xr:uid="{A68F6617-CA8E-4728-B43A-802D115DF375}">
    <filterColumn colId="0">
      <filters>
        <filter val="1"/>
      </filters>
    </filterColumn>
  </autoFilter>
  <mergeCells count="1">
    <mergeCell ref="J1:L1"/>
  </mergeCells>
  <dataValidations disablePrompts="1" count="2">
    <dataValidation type="list" allowBlank="1" showInputMessage="1" showErrorMessage="1" sqref="F2:G126" xr:uid="{8403B80D-F7A6-4182-8D29-CA5278AFA492}">
      <formula1>$F$11:$F$13</formula1>
    </dataValidation>
    <dataValidation type="list" allowBlank="1" showInputMessage="1" showErrorMessage="1" sqref="C2:E126" xr:uid="{F81B0A93-1383-4C29-AA14-0F2E66AF7740}">
      <formula1>$F$2:$F$8</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E2D5-C518-490A-8492-CBE3C5BDA213}">
  <dimension ref="A1:BV51"/>
  <sheetViews>
    <sheetView workbookViewId="0">
      <selection activeCell="E58" sqref="E58"/>
    </sheetView>
  </sheetViews>
  <sheetFormatPr defaultRowHeight="14.4"/>
  <cols>
    <col min="1" max="1" width="10.88671875" customWidth="1"/>
    <col min="2" max="2" width="9.88671875" customWidth="1"/>
    <col min="3" max="3" width="14.33203125" customWidth="1"/>
    <col min="6" max="6" width="10.6640625" bestFit="1" customWidth="1"/>
    <col min="8" max="8" width="10.109375" customWidth="1"/>
    <col min="9" max="9" width="15.109375" bestFit="1" customWidth="1"/>
    <col min="10" max="10" width="14.88671875" bestFit="1" customWidth="1"/>
    <col min="11" max="11" width="13.88671875" bestFit="1" customWidth="1"/>
    <col min="12" max="12" width="12.44140625" bestFit="1" customWidth="1"/>
    <col min="13" max="13" width="6" bestFit="1" customWidth="1"/>
    <col min="14" max="23" width="20.77734375" customWidth="1"/>
    <col min="24" max="70" width="15.77734375" customWidth="1"/>
  </cols>
  <sheetData>
    <row r="1" spans="1:74">
      <c r="A1" s="22" t="s">
        <v>324</v>
      </c>
      <c r="B1" s="3"/>
      <c r="C1" s="3"/>
      <c r="D1" s="3"/>
      <c r="E1" s="3"/>
      <c r="F1" s="3"/>
    </row>
    <row r="2" spans="1:74">
      <c r="A2" s="1"/>
    </row>
    <row r="3" spans="1:74">
      <c r="A3" s="52" t="s">
        <v>337</v>
      </c>
      <c r="B3" t="s">
        <v>325</v>
      </c>
    </row>
    <row r="4" spans="1:74">
      <c r="A4" s="4"/>
      <c r="B4" t="s">
        <v>378</v>
      </c>
    </row>
    <row r="5" spans="1:74">
      <c r="A5" s="4"/>
    </row>
    <row r="6" spans="1:74">
      <c r="A6" s="52" t="s">
        <v>338</v>
      </c>
      <c r="B6" t="s">
        <v>363</v>
      </c>
      <c r="I6" s="61"/>
    </row>
    <row r="7" spans="1:74">
      <c r="A7" s="52"/>
      <c r="I7" s="61"/>
    </row>
    <row r="8" spans="1:74" s="1" customFormat="1">
      <c r="A8" s="47" t="s">
        <v>305</v>
      </c>
      <c r="B8" s="47" t="s">
        <v>306</v>
      </c>
      <c r="C8" s="47" t="s">
        <v>307</v>
      </c>
      <c r="D8" s="47" t="s">
        <v>308</v>
      </c>
      <c r="E8" s="47" t="s">
        <v>309</v>
      </c>
      <c r="F8" s="47" t="s">
        <v>362</v>
      </c>
      <c r="G8" s="47" t="s">
        <v>311</v>
      </c>
      <c r="H8" s="47" t="s">
        <v>312</v>
      </c>
      <c r="I8" s="48" t="s">
        <v>89</v>
      </c>
      <c r="J8" s="48" t="s">
        <v>90</v>
      </c>
      <c r="K8" s="48" t="s">
        <v>93</v>
      </c>
      <c r="L8" s="48" t="s">
        <v>232</v>
      </c>
      <c r="M8" s="48" t="s">
        <v>75</v>
      </c>
      <c r="N8" s="66" t="s">
        <v>354</v>
      </c>
      <c r="O8" s="66" t="s">
        <v>352</v>
      </c>
      <c r="P8" s="66" t="s">
        <v>353</v>
      </c>
      <c r="Q8" s="65" t="s">
        <v>355</v>
      </c>
      <c r="R8" s="65" t="s">
        <v>356</v>
      </c>
      <c r="S8" s="65" t="s">
        <v>357</v>
      </c>
      <c r="T8" s="48" t="s">
        <v>358</v>
      </c>
      <c r="U8" s="48" t="s">
        <v>359</v>
      </c>
      <c r="V8" s="48" t="s">
        <v>360</v>
      </c>
      <c r="W8" s="55" t="s">
        <v>361</v>
      </c>
      <c r="X8" s="44"/>
      <c r="Y8" s="45"/>
      <c r="Z8" s="44"/>
      <c r="AA8" s="16"/>
      <c r="AB8" s="16"/>
      <c r="AC8" s="12"/>
      <c r="AD8" s="16"/>
      <c r="AE8" s="16"/>
      <c r="AF8" s="16"/>
      <c r="AG8" s="45"/>
      <c r="AH8" s="16"/>
      <c r="AI8" s="16"/>
      <c r="AJ8" s="16"/>
      <c r="AK8" s="45"/>
      <c r="AL8" s="16"/>
      <c r="AM8" s="16"/>
      <c r="AN8" s="16"/>
      <c r="AO8" s="12"/>
      <c r="AP8" s="12"/>
      <c r="AQ8" s="12"/>
      <c r="AR8" s="16"/>
      <c r="AS8" s="16"/>
      <c r="AT8" s="16"/>
      <c r="AU8" s="12"/>
      <c r="AV8" s="16"/>
      <c r="AW8" s="16"/>
      <c r="AX8" s="16"/>
      <c r="AY8" s="16"/>
      <c r="AZ8" s="16"/>
      <c r="BA8" s="16"/>
      <c r="BB8" s="16"/>
      <c r="BC8" s="12"/>
      <c r="BD8" s="12"/>
      <c r="BE8" s="16"/>
      <c r="BF8" s="46"/>
      <c r="BG8" s="45"/>
      <c r="BH8" s="16"/>
      <c r="BI8" s="46"/>
      <c r="BJ8" s="46"/>
      <c r="BK8" s="16"/>
      <c r="BL8" s="12"/>
      <c r="BM8" s="12"/>
      <c r="BN8" s="16"/>
      <c r="BO8" s="12"/>
      <c r="BP8" s="12"/>
      <c r="BQ8" s="44"/>
      <c r="BR8" s="43"/>
      <c r="BS8" s="16"/>
      <c r="BT8" s="44"/>
      <c r="BU8" s="43"/>
      <c r="BV8" s="16"/>
    </row>
    <row r="9" spans="1:74">
      <c r="A9" s="54">
        <v>1</v>
      </c>
      <c r="B9" s="56">
        <v>11</v>
      </c>
      <c r="C9" s="48">
        <v>1</v>
      </c>
      <c r="D9" s="57">
        <v>0.35416666666666669</v>
      </c>
      <c r="E9" s="48">
        <v>40</v>
      </c>
      <c r="F9" s="48" t="s">
        <v>310</v>
      </c>
      <c r="G9" s="48">
        <v>45</v>
      </c>
      <c r="H9" s="48">
        <v>45</v>
      </c>
      <c r="I9" s="48"/>
      <c r="J9" s="48"/>
      <c r="K9" s="48"/>
      <c r="L9" s="48"/>
      <c r="M9" s="48"/>
      <c r="N9" s="48"/>
      <c r="O9" s="48"/>
      <c r="P9" s="48"/>
      <c r="Q9" s="48"/>
      <c r="R9" s="48"/>
      <c r="S9" s="48"/>
      <c r="T9" s="48"/>
      <c r="U9" s="48"/>
      <c r="V9" s="48"/>
      <c r="W9" s="48"/>
    </row>
    <row r="10" spans="1:74">
      <c r="A10" s="54">
        <v>2</v>
      </c>
      <c r="B10" s="56">
        <v>11</v>
      </c>
      <c r="C10" s="48">
        <v>1</v>
      </c>
      <c r="D10" s="57">
        <v>0.77083333333333337</v>
      </c>
      <c r="E10" s="48">
        <v>25</v>
      </c>
      <c r="F10" s="48" t="s">
        <v>310</v>
      </c>
      <c r="G10" s="48">
        <v>45</v>
      </c>
      <c r="H10" s="48">
        <v>93</v>
      </c>
      <c r="I10" s="48"/>
      <c r="J10" s="48"/>
      <c r="K10" s="48"/>
      <c r="L10" s="48"/>
      <c r="M10" s="48"/>
      <c r="N10" s="48"/>
      <c r="O10" s="48"/>
      <c r="P10" s="48"/>
      <c r="Q10" s="48"/>
      <c r="R10" s="48"/>
      <c r="S10" s="48"/>
      <c r="T10" s="48"/>
      <c r="U10" s="48"/>
      <c r="V10" s="48"/>
      <c r="W10" s="48"/>
    </row>
    <row r="11" spans="1:74">
      <c r="A11" s="54">
        <v>3</v>
      </c>
      <c r="B11" s="56">
        <v>11</v>
      </c>
      <c r="C11" s="48">
        <v>1</v>
      </c>
      <c r="D11" s="57">
        <v>0.90277777777777779</v>
      </c>
      <c r="E11" s="48">
        <v>70</v>
      </c>
      <c r="F11" s="48" t="s">
        <v>310</v>
      </c>
      <c r="G11" s="48">
        <v>93</v>
      </c>
      <c r="H11" s="48">
        <v>45</v>
      </c>
      <c r="I11" s="48"/>
      <c r="J11" s="48"/>
      <c r="K11" s="48"/>
      <c r="L11" s="48"/>
      <c r="M11" s="48"/>
      <c r="N11" s="48"/>
      <c r="O11" s="48"/>
      <c r="P11" s="48"/>
      <c r="Q11" s="48"/>
      <c r="R11" s="48"/>
      <c r="S11" s="48"/>
      <c r="T11" s="48"/>
      <c r="U11" s="48"/>
      <c r="V11" s="48"/>
      <c r="W11" s="48"/>
    </row>
    <row r="12" spans="1:74">
      <c r="A12" s="54">
        <v>1</v>
      </c>
      <c r="B12" s="56">
        <v>22</v>
      </c>
      <c r="C12" s="48">
        <v>2</v>
      </c>
      <c r="D12" s="48"/>
      <c r="E12" s="48"/>
      <c r="F12" s="48"/>
      <c r="G12" s="48"/>
      <c r="H12" s="48"/>
      <c r="I12" s="48"/>
      <c r="J12" s="48"/>
      <c r="K12" s="48"/>
      <c r="L12" s="48"/>
      <c r="M12" s="48"/>
      <c r="N12" s="48"/>
      <c r="O12" s="48"/>
      <c r="P12" s="48"/>
      <c r="Q12" s="48"/>
      <c r="R12" s="48"/>
      <c r="S12" s="48"/>
      <c r="T12" s="48"/>
      <c r="U12" s="48"/>
      <c r="V12" s="48"/>
      <c r="W12" s="48"/>
    </row>
    <row r="13" spans="1:74">
      <c r="A13" s="54">
        <v>2</v>
      </c>
      <c r="B13" s="56">
        <v>22</v>
      </c>
      <c r="C13" s="48">
        <v>2</v>
      </c>
      <c r="D13" s="48"/>
      <c r="E13" s="48"/>
      <c r="F13" s="48"/>
      <c r="G13" s="48"/>
      <c r="H13" s="48"/>
      <c r="I13" s="48"/>
      <c r="J13" s="48"/>
      <c r="K13" s="48"/>
      <c r="L13" s="48"/>
      <c r="M13" s="48"/>
      <c r="N13" s="48"/>
      <c r="O13" s="48"/>
      <c r="P13" s="48"/>
      <c r="Q13" s="48"/>
      <c r="R13" s="48"/>
      <c r="S13" s="48"/>
      <c r="T13" s="48"/>
      <c r="U13" s="48"/>
      <c r="V13" s="48"/>
      <c r="W13" s="48"/>
    </row>
    <row r="14" spans="1:74">
      <c r="A14" s="54">
        <v>1</v>
      </c>
      <c r="B14" s="56">
        <v>33</v>
      </c>
      <c r="C14" s="48">
        <v>3</v>
      </c>
      <c r="D14" s="48"/>
      <c r="E14" s="48"/>
      <c r="F14" s="48"/>
      <c r="G14" s="48"/>
      <c r="H14" s="48"/>
      <c r="I14" s="48"/>
      <c r="J14" s="48"/>
      <c r="K14" s="48"/>
      <c r="L14" s="48"/>
      <c r="M14" s="48"/>
      <c r="N14" s="48"/>
      <c r="O14" s="48"/>
      <c r="P14" s="48"/>
      <c r="Q14" s="48"/>
      <c r="R14" s="48"/>
      <c r="S14" s="48"/>
      <c r="T14" s="48"/>
      <c r="U14" s="48"/>
      <c r="V14" s="48"/>
      <c r="W14" s="48"/>
    </row>
    <row r="15" spans="1:74">
      <c r="A15" s="54">
        <v>2</v>
      </c>
      <c r="B15" s="56">
        <v>33</v>
      </c>
      <c r="C15" s="48">
        <v>3</v>
      </c>
      <c r="D15" s="48"/>
      <c r="E15" s="48"/>
      <c r="F15" s="48"/>
      <c r="G15" s="48"/>
      <c r="H15" s="48"/>
      <c r="I15" s="48"/>
      <c r="J15" s="48"/>
      <c r="K15" s="48"/>
      <c r="L15" s="48"/>
      <c r="M15" s="48"/>
      <c r="N15" s="48"/>
      <c r="O15" s="48"/>
      <c r="P15" s="48"/>
      <c r="Q15" s="48"/>
      <c r="R15" s="48"/>
      <c r="S15" s="48"/>
      <c r="T15" s="48"/>
      <c r="U15" s="48"/>
      <c r="V15" s="48"/>
      <c r="W15" s="48"/>
    </row>
    <row r="16" spans="1:74">
      <c r="A16" s="69" t="s">
        <v>379</v>
      </c>
      <c r="B16" s="68"/>
      <c r="C16" s="64"/>
      <c r="D16" s="64"/>
      <c r="E16" s="64"/>
      <c r="F16" s="64"/>
      <c r="G16" s="64"/>
      <c r="H16" s="64"/>
      <c r="I16" s="64"/>
      <c r="J16" s="64"/>
      <c r="K16" s="64"/>
      <c r="L16" s="64"/>
      <c r="M16" s="64"/>
      <c r="N16" s="64"/>
      <c r="O16" s="64"/>
      <c r="P16" s="64"/>
      <c r="Q16" s="64"/>
      <c r="R16" s="64"/>
      <c r="S16" s="64"/>
      <c r="T16" s="64"/>
      <c r="U16" s="64"/>
      <c r="V16" s="64"/>
      <c r="W16" s="64"/>
    </row>
    <row r="17" spans="1:74">
      <c r="A17" s="69" t="s">
        <v>377</v>
      </c>
      <c r="B17" s="68"/>
      <c r="C17" s="64"/>
      <c r="D17" s="64"/>
      <c r="E17" s="64"/>
      <c r="F17" s="64"/>
      <c r="G17" s="64"/>
      <c r="H17" s="64"/>
      <c r="I17" s="64"/>
      <c r="J17" s="64"/>
      <c r="K17" s="64"/>
      <c r="L17" s="64"/>
      <c r="M17" s="64"/>
      <c r="N17" s="64"/>
      <c r="O17" s="64"/>
      <c r="P17" s="64"/>
      <c r="Q17" s="64"/>
      <c r="R17" s="64"/>
      <c r="S17" s="64"/>
      <c r="T17" s="64"/>
      <c r="U17" s="64"/>
      <c r="V17" s="64"/>
      <c r="W17" s="64"/>
    </row>
    <row r="18" spans="1:74">
      <c r="A18" s="3" t="s">
        <v>376</v>
      </c>
    </row>
    <row r="20" spans="1:74">
      <c r="A20" t="s">
        <v>339</v>
      </c>
    </row>
    <row r="22" spans="1:74" s="1" customFormat="1">
      <c r="A22" s="47" t="s">
        <v>305</v>
      </c>
      <c r="B22" s="47" t="s">
        <v>306</v>
      </c>
      <c r="C22" s="47" t="s">
        <v>307</v>
      </c>
      <c r="D22" s="47" t="s">
        <v>308</v>
      </c>
      <c r="E22" s="47" t="s">
        <v>309</v>
      </c>
      <c r="F22" s="47" t="s">
        <v>362</v>
      </c>
      <c r="G22" s="47" t="s">
        <v>311</v>
      </c>
      <c r="H22" s="47" t="s">
        <v>312</v>
      </c>
      <c r="I22" s="48" t="s">
        <v>89</v>
      </c>
      <c r="J22" s="48" t="s">
        <v>90</v>
      </c>
      <c r="K22" s="48" t="s">
        <v>93</v>
      </c>
      <c r="L22" s="48" t="s">
        <v>232</v>
      </c>
      <c r="M22" s="48" t="s">
        <v>75</v>
      </c>
      <c r="N22" s="66" t="s">
        <v>262</v>
      </c>
      <c r="O22" s="65" t="s">
        <v>263</v>
      </c>
      <c r="P22" s="62" t="s">
        <v>264</v>
      </c>
      <c r="Q22" s="55" t="s">
        <v>361</v>
      </c>
      <c r="R22" s="63"/>
      <c r="S22" s="64"/>
      <c r="T22" s="64"/>
      <c r="U22" s="63"/>
      <c r="V22" s="63"/>
      <c r="X22" s="44"/>
      <c r="Y22" s="45"/>
      <c r="Z22" s="44"/>
      <c r="AA22" s="16"/>
      <c r="AB22" s="16"/>
      <c r="AC22" s="12"/>
      <c r="AD22" s="16"/>
      <c r="AE22" s="16"/>
      <c r="AF22" s="16"/>
      <c r="AG22" s="45"/>
      <c r="AH22" s="16"/>
      <c r="AI22" s="16"/>
      <c r="AJ22" s="16"/>
      <c r="AK22" s="45"/>
      <c r="AL22" s="16"/>
      <c r="AM22" s="16"/>
      <c r="AN22" s="16"/>
      <c r="AO22" s="12"/>
      <c r="AP22" s="12"/>
      <c r="AQ22" s="12"/>
      <c r="AR22" s="16"/>
      <c r="AS22" s="16"/>
      <c r="AT22" s="16"/>
      <c r="AU22" s="12"/>
      <c r="AV22" s="16"/>
      <c r="AW22" s="16"/>
      <c r="AX22" s="16"/>
      <c r="AY22" s="16"/>
      <c r="AZ22" s="16"/>
      <c r="BA22" s="16"/>
      <c r="BB22" s="16"/>
      <c r="BC22" s="12"/>
      <c r="BD22" s="12"/>
      <c r="BE22" s="16"/>
      <c r="BF22" s="46"/>
      <c r="BG22" s="45"/>
      <c r="BH22" s="16"/>
      <c r="BI22" s="46"/>
      <c r="BJ22" s="46"/>
      <c r="BK22" s="16"/>
      <c r="BL22" s="12"/>
      <c r="BM22" s="12"/>
      <c r="BN22" s="16"/>
      <c r="BO22" s="12"/>
      <c r="BP22" s="12"/>
      <c r="BQ22" s="44"/>
      <c r="BR22" s="43"/>
      <c r="BS22" s="16"/>
      <c r="BT22" s="44"/>
      <c r="BU22" s="43"/>
      <c r="BV22" s="16"/>
    </row>
    <row r="23" spans="1:74">
      <c r="A23" s="54">
        <v>1</v>
      </c>
      <c r="B23" s="56">
        <v>11</v>
      </c>
      <c r="C23" s="48">
        <v>1</v>
      </c>
      <c r="D23" s="57">
        <v>0.35416666666666669</v>
      </c>
      <c r="E23" s="48">
        <v>40</v>
      </c>
      <c r="F23" s="48" t="s">
        <v>310</v>
      </c>
      <c r="G23" s="48">
        <v>45</v>
      </c>
      <c r="H23" s="48">
        <v>45</v>
      </c>
      <c r="I23" s="48"/>
      <c r="J23" s="48"/>
      <c r="K23" s="48"/>
      <c r="L23" s="48"/>
      <c r="M23" s="48"/>
      <c r="N23" s="48"/>
      <c r="O23" s="48"/>
      <c r="P23" s="62"/>
      <c r="Q23" s="48"/>
      <c r="R23" s="64"/>
      <c r="S23" s="64"/>
      <c r="T23" s="64"/>
      <c r="U23" s="64"/>
      <c r="V23" s="64"/>
    </row>
    <row r="24" spans="1:74">
      <c r="A24" s="54">
        <v>2</v>
      </c>
      <c r="B24" s="56">
        <v>11</v>
      </c>
      <c r="C24" s="48">
        <v>1</v>
      </c>
      <c r="D24" s="57">
        <v>0.77083333333333337</v>
      </c>
      <c r="E24" s="48">
        <v>25</v>
      </c>
      <c r="F24" s="48" t="s">
        <v>310</v>
      </c>
      <c r="G24" s="48">
        <v>45</v>
      </c>
      <c r="H24" s="48">
        <v>93</v>
      </c>
      <c r="I24" s="48"/>
      <c r="J24" s="48"/>
      <c r="K24" s="48"/>
      <c r="L24" s="48"/>
      <c r="M24" s="48"/>
      <c r="N24" s="48"/>
      <c r="O24" s="48"/>
      <c r="P24" s="62"/>
      <c r="Q24" s="48"/>
      <c r="R24" s="64"/>
      <c r="S24" s="64"/>
      <c r="T24" s="64"/>
      <c r="U24" s="64"/>
      <c r="V24" s="64"/>
    </row>
    <row r="25" spans="1:74">
      <c r="A25" s="54">
        <v>3</v>
      </c>
      <c r="B25" s="56">
        <v>11</v>
      </c>
      <c r="C25" s="48">
        <v>1</v>
      </c>
      <c r="D25" s="57">
        <v>0.90277777777777779</v>
      </c>
      <c r="E25" s="48">
        <v>70</v>
      </c>
      <c r="F25" s="48" t="s">
        <v>310</v>
      </c>
      <c r="G25" s="48">
        <v>93</v>
      </c>
      <c r="H25" s="48">
        <v>45</v>
      </c>
      <c r="I25" s="48"/>
      <c r="J25" s="48"/>
      <c r="K25" s="48"/>
      <c r="L25" s="48"/>
      <c r="M25" s="48"/>
      <c r="N25" s="48"/>
      <c r="O25" s="48"/>
      <c r="P25" s="62"/>
      <c r="Q25" s="48"/>
      <c r="R25" s="64"/>
      <c r="S25" s="64"/>
      <c r="T25" s="64"/>
      <c r="U25" s="64"/>
      <c r="V25" s="64"/>
    </row>
    <row r="26" spans="1:74">
      <c r="A26" s="54">
        <v>1</v>
      </c>
      <c r="B26" s="56">
        <v>22</v>
      </c>
      <c r="C26" s="48">
        <v>2</v>
      </c>
      <c r="D26" s="48"/>
      <c r="E26" s="48"/>
      <c r="F26" s="48"/>
      <c r="G26" s="48"/>
      <c r="H26" s="48"/>
      <c r="I26" s="48"/>
      <c r="J26" s="48"/>
      <c r="K26" s="48"/>
      <c r="L26" s="48"/>
      <c r="M26" s="48"/>
      <c r="N26" s="48"/>
      <c r="O26" s="48"/>
      <c r="P26" s="62"/>
      <c r="Q26" s="48"/>
      <c r="R26" s="64"/>
      <c r="S26" s="64"/>
      <c r="T26" s="64"/>
      <c r="U26" s="64"/>
      <c r="V26" s="64"/>
    </row>
    <row r="27" spans="1:74">
      <c r="A27" s="54">
        <v>2</v>
      </c>
      <c r="B27" s="56">
        <v>22</v>
      </c>
      <c r="C27" s="48">
        <v>2</v>
      </c>
      <c r="D27" s="48"/>
      <c r="E27" s="48"/>
      <c r="F27" s="48"/>
      <c r="G27" s="48"/>
      <c r="H27" s="48"/>
      <c r="I27" s="48"/>
      <c r="J27" s="48"/>
      <c r="K27" s="48"/>
      <c r="L27" s="48"/>
      <c r="M27" s="48"/>
      <c r="N27" s="48"/>
      <c r="O27" s="48"/>
      <c r="P27" s="62"/>
      <c r="Q27" s="48"/>
      <c r="R27" s="64"/>
      <c r="S27" s="64"/>
      <c r="T27" s="64"/>
      <c r="U27" s="64"/>
      <c r="V27" s="64"/>
    </row>
    <row r="28" spans="1:74">
      <c r="A28" s="54">
        <v>1</v>
      </c>
      <c r="B28" s="56">
        <v>33</v>
      </c>
      <c r="C28" s="48">
        <v>3</v>
      </c>
      <c r="D28" s="48"/>
      <c r="E28" s="48"/>
      <c r="F28" s="48"/>
      <c r="G28" s="48"/>
      <c r="H28" s="48"/>
      <c r="I28" s="48"/>
      <c r="J28" s="48"/>
      <c r="K28" s="48"/>
      <c r="L28" s="48"/>
      <c r="M28" s="48"/>
      <c r="N28" s="48"/>
      <c r="O28" s="48"/>
      <c r="P28" s="62"/>
      <c r="Q28" s="48"/>
      <c r="R28" s="64"/>
      <c r="S28" s="64"/>
      <c r="T28" s="64"/>
      <c r="U28" s="64"/>
      <c r="V28" s="64"/>
    </row>
    <row r="29" spans="1:74">
      <c r="A29" s="54">
        <v>2</v>
      </c>
      <c r="B29" s="56">
        <v>33</v>
      </c>
      <c r="C29" s="48">
        <v>3</v>
      </c>
      <c r="D29" s="48"/>
      <c r="E29" s="48"/>
      <c r="F29" s="48"/>
      <c r="G29" s="48"/>
      <c r="H29" s="48"/>
      <c r="I29" s="48"/>
      <c r="J29" s="48"/>
      <c r="K29" s="48"/>
      <c r="L29" s="48"/>
      <c r="M29" s="48"/>
      <c r="N29" s="48"/>
      <c r="O29" s="48"/>
      <c r="P29" s="62"/>
      <c r="Q29" s="48"/>
      <c r="R29" s="64"/>
      <c r="S29" s="64"/>
      <c r="T29" s="64"/>
      <c r="U29" s="64"/>
      <c r="V29" s="64"/>
    </row>
    <row r="31" spans="1:74">
      <c r="A31" t="s">
        <v>340</v>
      </c>
    </row>
    <row r="32" spans="1:74">
      <c r="B32">
        <v>4.0999999999999996</v>
      </c>
      <c r="C32" t="s">
        <v>346</v>
      </c>
    </row>
    <row r="33" spans="1:10">
      <c r="B33">
        <v>4.2</v>
      </c>
      <c r="C33" t="s">
        <v>347</v>
      </c>
    </row>
    <row r="34" spans="1:10">
      <c r="A34" s="1" t="s">
        <v>364</v>
      </c>
    </row>
    <row r="35" spans="1:10">
      <c r="A35" s="48" t="s">
        <v>78</v>
      </c>
      <c r="B35" s="47" t="s">
        <v>313</v>
      </c>
      <c r="C35" s="47" t="s">
        <v>217</v>
      </c>
      <c r="D35" s="47" t="s">
        <v>218</v>
      </c>
      <c r="E35" s="47" t="s">
        <v>219</v>
      </c>
      <c r="F35" s="60" t="s">
        <v>348</v>
      </c>
      <c r="G35" s="60" t="s">
        <v>349</v>
      </c>
      <c r="H35" s="60" t="s">
        <v>350</v>
      </c>
      <c r="I35" s="60" t="s">
        <v>314</v>
      </c>
      <c r="J35" s="60" t="s">
        <v>351</v>
      </c>
    </row>
    <row r="36" spans="1:10">
      <c r="A36" s="48">
        <v>1</v>
      </c>
      <c r="B36" s="48">
        <v>11</v>
      </c>
      <c r="C36" s="48" t="s">
        <v>149</v>
      </c>
      <c r="D36" s="48" t="s">
        <v>149</v>
      </c>
      <c r="E36" s="48" t="s">
        <v>149</v>
      </c>
      <c r="F36" s="48"/>
      <c r="G36" s="48"/>
      <c r="H36" s="48"/>
      <c r="I36" s="48"/>
      <c r="J36" s="48"/>
    </row>
    <row r="37" spans="1:10">
      <c r="A37" s="48">
        <v>1</v>
      </c>
      <c r="B37" s="48">
        <v>11</v>
      </c>
      <c r="C37" s="48" t="s">
        <v>316</v>
      </c>
      <c r="D37" s="48" t="s">
        <v>144</v>
      </c>
      <c r="E37" s="48" t="s">
        <v>317</v>
      </c>
      <c r="F37" s="48"/>
      <c r="G37" s="48"/>
      <c r="H37" s="48"/>
      <c r="I37" s="48"/>
      <c r="J37" s="48"/>
    </row>
    <row r="38" spans="1:10">
      <c r="A38" s="48" t="s">
        <v>318</v>
      </c>
      <c r="B38" s="48" t="s">
        <v>314</v>
      </c>
      <c r="C38" s="48" t="s">
        <v>318</v>
      </c>
      <c r="D38" s="48" t="s">
        <v>318</v>
      </c>
      <c r="E38" s="48" t="s">
        <v>318</v>
      </c>
      <c r="F38" s="48"/>
      <c r="G38" s="48"/>
      <c r="H38" s="48"/>
      <c r="I38" s="48"/>
      <c r="J38" s="48"/>
    </row>
    <row r="39" spans="1:10">
      <c r="A39" s="48">
        <v>1</v>
      </c>
      <c r="B39" s="48">
        <v>11</v>
      </c>
      <c r="C39" s="48" t="s">
        <v>365</v>
      </c>
      <c r="D39" s="48" t="s">
        <v>365</v>
      </c>
      <c r="E39" s="48" t="s">
        <v>365</v>
      </c>
      <c r="F39" s="48"/>
      <c r="G39" s="48"/>
      <c r="H39" s="48"/>
      <c r="I39" s="48"/>
      <c r="J39" s="48"/>
    </row>
    <row r="41" spans="1:10">
      <c r="A41" s="50" t="s">
        <v>341</v>
      </c>
      <c r="B41" t="s">
        <v>323</v>
      </c>
    </row>
    <row r="42" spans="1:10">
      <c r="A42" s="50"/>
    </row>
    <row r="43" spans="1:10">
      <c r="A43" s="50" t="s">
        <v>342</v>
      </c>
      <c r="B43" t="s">
        <v>374</v>
      </c>
    </row>
    <row r="44" spans="1:10">
      <c r="A44" s="48" t="s">
        <v>78</v>
      </c>
      <c r="B44" s="47" t="s">
        <v>322</v>
      </c>
      <c r="C44" s="47" t="s">
        <v>313</v>
      </c>
      <c r="D44" s="47" t="s">
        <v>217</v>
      </c>
      <c r="E44" s="47" t="s">
        <v>218</v>
      </c>
      <c r="F44" s="47" t="s">
        <v>219</v>
      </c>
      <c r="G44" s="47" t="s">
        <v>315</v>
      </c>
    </row>
    <row r="45" spans="1:10">
      <c r="A45" s="48">
        <v>1</v>
      </c>
      <c r="B45" s="48">
        <v>1</v>
      </c>
      <c r="C45" s="48">
        <v>11</v>
      </c>
      <c r="D45" s="48" t="s">
        <v>368</v>
      </c>
      <c r="E45" s="48" t="s">
        <v>369</v>
      </c>
      <c r="F45" s="48" t="s">
        <v>370</v>
      </c>
      <c r="G45" s="48"/>
    </row>
    <row r="46" spans="1:10">
      <c r="A46" s="48">
        <v>1</v>
      </c>
      <c r="B46" s="48">
        <v>2</v>
      </c>
      <c r="C46" s="48">
        <v>11</v>
      </c>
      <c r="D46" s="48" t="s">
        <v>319</v>
      </c>
      <c r="E46" s="48" t="s">
        <v>320</v>
      </c>
      <c r="F46" s="48" t="s">
        <v>321</v>
      </c>
      <c r="G46" s="48"/>
    </row>
    <row r="47" spans="1:10">
      <c r="A47" s="48" t="s">
        <v>318</v>
      </c>
      <c r="B47" s="48">
        <v>3</v>
      </c>
      <c r="C47" s="48">
        <v>11</v>
      </c>
      <c r="D47" s="48"/>
      <c r="E47" s="48"/>
      <c r="F47" s="48"/>
      <c r="G47" s="48"/>
    </row>
    <row r="48" spans="1:10">
      <c r="A48" s="48">
        <v>1</v>
      </c>
      <c r="B48" s="48"/>
      <c r="C48" s="48" t="s">
        <v>314</v>
      </c>
      <c r="D48" s="48"/>
      <c r="E48" s="48"/>
      <c r="F48" s="48"/>
      <c r="G48" s="48" t="s">
        <v>318</v>
      </c>
    </row>
    <row r="49" spans="1:7">
      <c r="A49" s="67" t="s">
        <v>366</v>
      </c>
      <c r="B49" s="58" t="s">
        <v>367</v>
      </c>
      <c r="C49" s="48">
        <v>11</v>
      </c>
      <c r="D49" s="48" t="s">
        <v>371</v>
      </c>
      <c r="E49" s="48" t="s">
        <v>372</v>
      </c>
      <c r="F49" s="48" t="s">
        <v>373</v>
      </c>
      <c r="G49" s="48"/>
    </row>
    <row r="50" spans="1:7">
      <c r="A50" s="50"/>
    </row>
    <row r="51" spans="1:7">
      <c r="A51" s="50" t="s">
        <v>343</v>
      </c>
      <c r="B51" t="s">
        <v>375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28766-E256-4633-B5F3-96EFF07D9175}">
  <dimension ref="A1:G29"/>
  <sheetViews>
    <sheetView tabSelected="1" workbookViewId="0">
      <selection activeCell="F12" sqref="F12"/>
    </sheetView>
  </sheetViews>
  <sheetFormatPr defaultRowHeight="14.4"/>
  <cols>
    <col min="2" max="2" width="8.88671875" style="4"/>
    <col min="3" max="3" width="10" bestFit="1" customWidth="1"/>
    <col min="4" max="4" width="8.77734375" bestFit="1" customWidth="1"/>
    <col min="5" max="5" width="13" bestFit="1" customWidth="1"/>
    <col min="6" max="6" width="11.44140625" customWidth="1"/>
  </cols>
  <sheetData>
    <row r="1" spans="1:7">
      <c r="A1" s="1" t="s">
        <v>78</v>
      </c>
      <c r="B1" s="1" t="s">
        <v>0</v>
      </c>
      <c r="C1" s="1" t="s">
        <v>311</v>
      </c>
      <c r="D1" s="1" t="s">
        <v>312</v>
      </c>
      <c r="E1" s="1" t="s">
        <v>23</v>
      </c>
      <c r="F1" s="1" t="s">
        <v>327</v>
      </c>
      <c r="G1" s="1" t="s">
        <v>326</v>
      </c>
    </row>
    <row r="2" spans="1:7">
      <c r="A2">
        <v>1</v>
      </c>
      <c r="B2" s="4">
        <v>11</v>
      </c>
      <c r="C2">
        <v>1</v>
      </c>
      <c r="D2">
        <v>2</v>
      </c>
      <c r="E2" t="s">
        <v>25</v>
      </c>
      <c r="F2">
        <v>2</v>
      </c>
      <c r="G2" t="s">
        <v>330</v>
      </c>
    </row>
    <row r="3" spans="1:7">
      <c r="A3">
        <v>1</v>
      </c>
      <c r="B3" s="4">
        <v>12</v>
      </c>
      <c r="C3">
        <v>2</v>
      </c>
      <c r="D3">
        <v>1</v>
      </c>
      <c r="E3" t="s">
        <v>27</v>
      </c>
      <c r="F3">
        <v>2</v>
      </c>
    </row>
    <row r="4" spans="1:7">
      <c r="A4">
        <v>2</v>
      </c>
      <c r="B4" s="4">
        <v>101</v>
      </c>
      <c r="C4">
        <v>1</v>
      </c>
      <c r="D4">
        <v>2</v>
      </c>
      <c r="E4" t="s">
        <v>25</v>
      </c>
      <c r="F4">
        <v>3</v>
      </c>
      <c r="G4" t="s">
        <v>331</v>
      </c>
    </row>
    <row r="5" spans="1:7">
      <c r="A5">
        <v>2</v>
      </c>
      <c r="B5" s="4">
        <v>102</v>
      </c>
      <c r="C5">
        <v>2</v>
      </c>
      <c r="D5">
        <v>3</v>
      </c>
      <c r="E5" t="s">
        <v>26</v>
      </c>
      <c r="F5">
        <v>3</v>
      </c>
    </row>
    <row r="6" spans="1:7">
      <c r="A6">
        <v>2</v>
      </c>
      <c r="B6" s="4">
        <v>103</v>
      </c>
      <c r="C6">
        <v>3</v>
      </c>
      <c r="D6">
        <v>1</v>
      </c>
      <c r="E6" t="s">
        <v>27</v>
      </c>
      <c r="F6">
        <v>3</v>
      </c>
    </row>
    <row r="7" spans="1:7">
      <c r="A7">
        <v>3</v>
      </c>
      <c r="B7" s="4">
        <v>1001</v>
      </c>
      <c r="C7">
        <v>1</v>
      </c>
      <c r="D7">
        <v>2</v>
      </c>
      <c r="E7" t="s">
        <v>25</v>
      </c>
      <c r="F7">
        <v>4</v>
      </c>
      <c r="G7" t="s">
        <v>332</v>
      </c>
    </row>
    <row r="8" spans="1:7">
      <c r="A8">
        <v>3</v>
      </c>
      <c r="B8" s="4">
        <v>1002</v>
      </c>
      <c r="C8">
        <v>2</v>
      </c>
      <c r="D8">
        <v>3</v>
      </c>
      <c r="E8" t="s">
        <v>328</v>
      </c>
      <c r="F8">
        <v>4</v>
      </c>
    </row>
    <row r="9" spans="1:7">
      <c r="A9">
        <v>3</v>
      </c>
      <c r="B9" s="4">
        <v>1003</v>
      </c>
      <c r="C9">
        <v>3</v>
      </c>
      <c r="D9">
        <v>4</v>
      </c>
      <c r="E9" t="s">
        <v>79</v>
      </c>
      <c r="F9">
        <v>4</v>
      </c>
    </row>
    <row r="10" spans="1:7">
      <c r="A10">
        <v>3</v>
      </c>
      <c r="B10" s="4">
        <v>1004</v>
      </c>
      <c r="C10">
        <v>4</v>
      </c>
      <c r="D10">
        <v>1</v>
      </c>
      <c r="E10" t="s">
        <v>72</v>
      </c>
      <c r="F10">
        <v>4</v>
      </c>
    </row>
    <row r="11" spans="1:7">
      <c r="A11">
        <v>4</v>
      </c>
      <c r="B11" s="4">
        <v>10001</v>
      </c>
      <c r="C11">
        <v>1</v>
      </c>
      <c r="D11">
        <v>2</v>
      </c>
      <c r="E11" t="s">
        <v>79</v>
      </c>
      <c r="F11">
        <v>5</v>
      </c>
      <c r="G11" t="s">
        <v>333</v>
      </c>
    </row>
    <row r="12" spans="1:7">
      <c r="A12">
        <v>4</v>
      </c>
      <c r="B12" s="4">
        <v>10002</v>
      </c>
      <c r="C12">
        <v>2</v>
      </c>
      <c r="D12">
        <v>3</v>
      </c>
      <c r="E12" t="s">
        <v>70</v>
      </c>
      <c r="F12">
        <v>5</v>
      </c>
    </row>
    <row r="13" spans="1:7">
      <c r="A13">
        <v>4</v>
      </c>
      <c r="B13" s="4">
        <v>10003</v>
      </c>
      <c r="C13">
        <v>3</v>
      </c>
      <c r="D13">
        <v>4</v>
      </c>
      <c r="E13" t="s">
        <v>26</v>
      </c>
      <c r="F13">
        <v>5</v>
      </c>
    </row>
    <row r="14" spans="1:7">
      <c r="A14">
        <v>4</v>
      </c>
      <c r="B14" s="4">
        <v>10004</v>
      </c>
      <c r="C14">
        <v>4</v>
      </c>
      <c r="D14">
        <v>5</v>
      </c>
      <c r="E14" t="s">
        <v>329</v>
      </c>
      <c r="F14">
        <v>5</v>
      </c>
    </row>
    <row r="15" spans="1:7">
      <c r="A15" s="15">
        <v>4</v>
      </c>
      <c r="B15" s="53">
        <v>10005</v>
      </c>
      <c r="C15" s="15">
        <v>5</v>
      </c>
      <c r="D15" s="15">
        <v>1</v>
      </c>
      <c r="E15" t="s">
        <v>72</v>
      </c>
      <c r="F15">
        <v>5</v>
      </c>
    </row>
    <row r="16" spans="1:7">
      <c r="A16" s="15">
        <v>5</v>
      </c>
      <c r="B16" s="53">
        <v>1001</v>
      </c>
      <c r="C16" s="15">
        <v>1</v>
      </c>
      <c r="D16" s="15">
        <v>2</v>
      </c>
      <c r="E16" s="15" t="s">
        <v>70</v>
      </c>
      <c r="F16" s="15">
        <v>4</v>
      </c>
      <c r="G16" t="s">
        <v>334</v>
      </c>
    </row>
    <row r="17" spans="1:6">
      <c r="A17" s="15">
        <v>5</v>
      </c>
      <c r="B17" s="53">
        <v>1002</v>
      </c>
      <c r="C17" s="15">
        <v>2</v>
      </c>
      <c r="D17" s="15">
        <v>3</v>
      </c>
      <c r="E17" s="15" t="s">
        <v>71</v>
      </c>
      <c r="F17" s="15">
        <v>4</v>
      </c>
    </row>
    <row r="18" spans="1:6">
      <c r="A18" s="15">
        <v>5</v>
      </c>
      <c r="B18" s="53">
        <v>1003</v>
      </c>
      <c r="C18" s="15">
        <v>3</v>
      </c>
      <c r="D18" s="15">
        <v>2</v>
      </c>
      <c r="E18" s="15" t="s">
        <v>70</v>
      </c>
      <c r="F18" s="15">
        <v>4</v>
      </c>
    </row>
    <row r="19" spans="1:6">
      <c r="A19" s="15">
        <v>5</v>
      </c>
      <c r="B19" s="53">
        <v>1004</v>
      </c>
      <c r="C19" s="15">
        <v>2</v>
      </c>
      <c r="D19" s="15">
        <v>1</v>
      </c>
      <c r="E19" s="15" t="s">
        <v>72</v>
      </c>
      <c r="F19" s="15">
        <v>4</v>
      </c>
    </row>
    <row r="20" spans="1:6">
      <c r="A20" s="15"/>
      <c r="B20" s="53"/>
      <c r="C20" s="15"/>
      <c r="D20" s="15"/>
      <c r="E20" s="15"/>
    </row>
    <row r="21" spans="1:6">
      <c r="A21" s="15"/>
      <c r="B21" s="53"/>
      <c r="C21" s="15"/>
      <c r="D21" s="15"/>
      <c r="E21" s="15"/>
    </row>
    <row r="22" spans="1:6">
      <c r="A22" s="15"/>
      <c r="B22" s="53"/>
      <c r="C22" s="15"/>
      <c r="D22" s="15"/>
      <c r="E22" s="15"/>
    </row>
    <row r="23" spans="1:6">
      <c r="A23" s="15"/>
      <c r="B23" s="53"/>
      <c r="C23" s="15"/>
      <c r="D23" s="15"/>
      <c r="E23" s="15"/>
    </row>
    <row r="24" spans="1:6">
      <c r="A24" s="15"/>
      <c r="B24" s="53"/>
      <c r="C24" s="15"/>
      <c r="D24" s="15"/>
      <c r="E24" s="15"/>
    </row>
    <row r="25" spans="1:6">
      <c r="A25" s="15"/>
      <c r="B25" s="53"/>
      <c r="C25" s="15"/>
      <c r="D25" s="15"/>
      <c r="E25" s="15"/>
    </row>
    <row r="26" spans="1:6">
      <c r="A26" s="15"/>
      <c r="B26" s="53"/>
      <c r="C26" s="15"/>
      <c r="D26" s="15"/>
      <c r="E26" s="15"/>
    </row>
    <row r="27" spans="1:6">
      <c r="A27" s="15"/>
      <c r="B27" s="53"/>
      <c r="C27" s="15"/>
      <c r="D27" s="15"/>
      <c r="E27" s="15"/>
    </row>
    <row r="28" spans="1:6">
      <c r="A28" s="15"/>
      <c r="B28" s="53"/>
      <c r="C28" s="15"/>
      <c r="D28" s="15"/>
      <c r="E28" s="15"/>
    </row>
    <row r="29" spans="1:6">
      <c r="A29" s="15"/>
      <c r="B29" s="53"/>
      <c r="C29" s="15"/>
      <c r="D29" s="15"/>
      <c r="E29" s="1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E9AB6-90D0-4333-9A57-D2D00EAD6AD8}">
  <dimension ref="A1:O9"/>
  <sheetViews>
    <sheetView workbookViewId="0">
      <selection activeCell="K2" sqref="K2"/>
    </sheetView>
  </sheetViews>
  <sheetFormatPr defaultRowHeight="14.4"/>
  <cols>
    <col min="4" max="4" width="6.5546875" bestFit="1" customWidth="1"/>
    <col min="5" max="5" width="11.88671875" bestFit="1" customWidth="1"/>
    <col min="6" max="6" width="12.88671875" bestFit="1" customWidth="1"/>
    <col min="9" max="9" width="9.77734375" bestFit="1" customWidth="1"/>
    <col min="10" max="10" width="8.5546875" bestFit="1" customWidth="1"/>
    <col min="11" max="11" width="8.109375" bestFit="1" customWidth="1"/>
    <col min="12" max="12" width="9.109375" bestFit="1" customWidth="1"/>
  </cols>
  <sheetData>
    <row r="1" spans="1:15">
      <c r="A1" t="s">
        <v>1</v>
      </c>
      <c r="B1" t="s">
        <v>291</v>
      </c>
      <c r="C1" t="s">
        <v>292</v>
      </c>
      <c r="D1" t="s">
        <v>293</v>
      </c>
      <c r="E1" t="s">
        <v>294</v>
      </c>
      <c r="F1" t="s">
        <v>295</v>
      </c>
      <c r="G1" t="s">
        <v>296</v>
      </c>
      <c r="H1" t="s">
        <v>297</v>
      </c>
      <c r="I1" t="s">
        <v>298</v>
      </c>
      <c r="J1" t="s">
        <v>406</v>
      </c>
      <c r="K1" t="s">
        <v>407</v>
      </c>
      <c r="L1" t="s">
        <v>408</v>
      </c>
      <c r="M1" t="s">
        <v>302</v>
      </c>
      <c r="N1" t="s">
        <v>303</v>
      </c>
      <c r="O1" t="s">
        <v>335</v>
      </c>
    </row>
    <row r="2" spans="1:15">
      <c r="A2">
        <v>10001</v>
      </c>
      <c r="B2">
        <v>20001</v>
      </c>
      <c r="C2">
        <v>29</v>
      </c>
      <c r="D2">
        <v>1</v>
      </c>
      <c r="E2">
        <v>3</v>
      </c>
      <c r="F2">
        <v>1</v>
      </c>
      <c r="G2">
        <v>3</v>
      </c>
      <c r="H2">
        <v>4</v>
      </c>
      <c r="I2">
        <v>0</v>
      </c>
      <c r="J2">
        <v>0</v>
      </c>
      <c r="K2">
        <v>0</v>
      </c>
      <c r="L2">
        <v>0</v>
      </c>
      <c r="M2">
        <v>0</v>
      </c>
      <c r="N2">
        <v>1</v>
      </c>
      <c r="O2">
        <v>1</v>
      </c>
    </row>
    <row r="3" spans="1:15">
      <c r="A3">
        <v>10002</v>
      </c>
      <c r="B3">
        <v>20002</v>
      </c>
      <c r="C3">
        <v>47</v>
      </c>
      <c r="D3">
        <v>2</v>
      </c>
      <c r="E3">
        <v>1</v>
      </c>
      <c r="F3">
        <v>1</v>
      </c>
      <c r="G3">
        <v>3</v>
      </c>
      <c r="H3">
        <v>4</v>
      </c>
      <c r="I3">
        <v>0</v>
      </c>
      <c r="J3">
        <v>1</v>
      </c>
      <c r="K3">
        <v>0</v>
      </c>
      <c r="L3">
        <v>0</v>
      </c>
      <c r="M3">
        <v>0</v>
      </c>
      <c r="N3">
        <v>1</v>
      </c>
      <c r="O3">
        <v>1</v>
      </c>
    </row>
    <row r="4" spans="1:15">
      <c r="A4">
        <v>10003</v>
      </c>
      <c r="B4">
        <v>20003</v>
      </c>
      <c r="C4">
        <v>38</v>
      </c>
      <c r="D4">
        <v>2</v>
      </c>
      <c r="E4">
        <v>1</v>
      </c>
      <c r="F4">
        <v>1</v>
      </c>
      <c r="G4">
        <v>3</v>
      </c>
      <c r="H4">
        <v>4</v>
      </c>
      <c r="I4">
        <v>0</v>
      </c>
      <c r="J4">
        <v>0</v>
      </c>
      <c r="K4">
        <v>1</v>
      </c>
      <c r="L4">
        <v>0</v>
      </c>
      <c r="M4">
        <v>0</v>
      </c>
      <c r="N4">
        <v>1</v>
      </c>
      <c r="O4">
        <v>1</v>
      </c>
    </row>
    <row r="5" spans="1:15">
      <c r="A5">
        <v>10004</v>
      </c>
      <c r="B5">
        <v>20004</v>
      </c>
      <c r="C5">
        <v>39</v>
      </c>
      <c r="D5">
        <v>1</v>
      </c>
      <c r="E5">
        <v>1</v>
      </c>
      <c r="F5">
        <v>1</v>
      </c>
      <c r="G5">
        <v>3</v>
      </c>
      <c r="H5">
        <v>4</v>
      </c>
      <c r="I5">
        <v>0</v>
      </c>
      <c r="J5">
        <v>1</v>
      </c>
      <c r="K5">
        <v>1</v>
      </c>
      <c r="L5">
        <v>0</v>
      </c>
      <c r="M5">
        <v>0</v>
      </c>
      <c r="N5">
        <v>1</v>
      </c>
      <c r="O5">
        <v>1</v>
      </c>
    </row>
    <row r="6" spans="1:15">
      <c r="A6">
        <v>10005</v>
      </c>
      <c r="B6">
        <v>20005</v>
      </c>
      <c r="C6">
        <v>40</v>
      </c>
      <c r="D6">
        <v>2</v>
      </c>
      <c r="E6">
        <v>1</v>
      </c>
      <c r="F6">
        <v>1</v>
      </c>
      <c r="G6">
        <v>3</v>
      </c>
      <c r="H6">
        <v>4</v>
      </c>
      <c r="I6">
        <v>0</v>
      </c>
      <c r="J6">
        <v>0</v>
      </c>
      <c r="K6">
        <v>0</v>
      </c>
      <c r="L6">
        <v>1</v>
      </c>
      <c r="M6">
        <v>0</v>
      </c>
      <c r="N6">
        <v>1</v>
      </c>
      <c r="O6">
        <v>1</v>
      </c>
    </row>
    <row r="7" spans="1:15">
      <c r="A7">
        <v>10006</v>
      </c>
      <c r="B7">
        <v>20006</v>
      </c>
      <c r="C7">
        <v>41</v>
      </c>
      <c r="D7">
        <v>1</v>
      </c>
      <c r="E7">
        <v>1</v>
      </c>
      <c r="F7">
        <v>1</v>
      </c>
      <c r="G7">
        <v>3</v>
      </c>
      <c r="H7">
        <v>4</v>
      </c>
      <c r="I7">
        <v>0</v>
      </c>
      <c r="J7">
        <v>1</v>
      </c>
      <c r="K7">
        <v>0</v>
      </c>
      <c r="L7">
        <v>1</v>
      </c>
      <c r="M7">
        <v>0</v>
      </c>
      <c r="N7">
        <v>1</v>
      </c>
      <c r="O7">
        <v>1</v>
      </c>
    </row>
    <row r="8" spans="1:15">
      <c r="A8">
        <v>10007</v>
      </c>
      <c r="B8">
        <v>20007</v>
      </c>
      <c r="C8">
        <v>32</v>
      </c>
      <c r="D8">
        <v>1</v>
      </c>
      <c r="E8">
        <v>1</v>
      </c>
      <c r="F8">
        <v>1</v>
      </c>
      <c r="G8">
        <v>3</v>
      </c>
      <c r="H8">
        <v>4</v>
      </c>
      <c r="I8">
        <v>0</v>
      </c>
      <c r="J8">
        <v>0</v>
      </c>
      <c r="K8">
        <v>1</v>
      </c>
      <c r="L8">
        <v>1</v>
      </c>
      <c r="M8">
        <v>0</v>
      </c>
      <c r="N8">
        <v>1</v>
      </c>
      <c r="O8">
        <v>1</v>
      </c>
    </row>
    <row r="9" spans="1:15">
      <c r="A9">
        <v>10008</v>
      </c>
      <c r="B9">
        <v>20007</v>
      </c>
      <c r="C9">
        <v>32</v>
      </c>
      <c r="D9">
        <v>1</v>
      </c>
      <c r="E9">
        <v>1</v>
      </c>
      <c r="F9">
        <v>1</v>
      </c>
      <c r="G9">
        <v>3</v>
      </c>
      <c r="H9">
        <v>4</v>
      </c>
      <c r="I9">
        <v>0</v>
      </c>
      <c r="J9">
        <v>1</v>
      </c>
      <c r="K9">
        <v>1</v>
      </c>
      <c r="L9">
        <v>1</v>
      </c>
      <c r="M9">
        <v>0</v>
      </c>
      <c r="N9">
        <v>1</v>
      </c>
      <c r="O9">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FD9F4-F82A-4A47-BF51-417FBA33E822}">
  <dimension ref="A1:D4"/>
  <sheetViews>
    <sheetView workbookViewId="0">
      <selection sqref="A1:D4"/>
    </sheetView>
  </sheetViews>
  <sheetFormatPr defaultRowHeight="14.4"/>
  <sheetData>
    <row r="1" spans="1:4">
      <c r="A1" s="22" t="s">
        <v>380</v>
      </c>
      <c r="B1" s="3"/>
      <c r="C1" s="3"/>
      <c r="D1" s="3"/>
    </row>
    <row r="2" spans="1:4">
      <c r="A2">
        <v>1</v>
      </c>
      <c r="B2" t="s">
        <v>381</v>
      </c>
    </row>
    <row r="3" spans="1:4">
      <c r="A3">
        <v>2</v>
      </c>
      <c r="B3" t="s">
        <v>382</v>
      </c>
    </row>
    <row r="4" spans="1:4">
      <c r="A4">
        <v>3</v>
      </c>
      <c r="B4" t="s">
        <v>383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E910F-3668-43B4-8D53-E1D338FC9B32}">
  <sheetPr codeName="Sheet1"/>
  <dimension ref="A1:H62"/>
  <sheetViews>
    <sheetView zoomScaleNormal="100" workbookViewId="0">
      <pane ySplit="1" topLeftCell="A26" activePane="bottomLeft" state="frozen"/>
      <selection pane="bottomLeft" activeCell="A62" sqref="A62"/>
    </sheetView>
  </sheetViews>
  <sheetFormatPr defaultRowHeight="14.4"/>
  <cols>
    <col min="1" max="1" width="6.33203125" bestFit="1" customWidth="1"/>
    <col min="2" max="2" width="22.88671875" bestFit="1" customWidth="1"/>
    <col min="3" max="4" width="22.88671875" customWidth="1"/>
    <col min="5" max="5" width="10.88671875" customWidth="1"/>
    <col min="6" max="6" width="21.88671875" customWidth="1"/>
    <col min="7" max="7" width="20.44140625" customWidth="1"/>
  </cols>
  <sheetData>
    <row r="1" spans="1:7">
      <c r="A1" s="1" t="s">
        <v>40</v>
      </c>
      <c r="B1" s="1" t="s">
        <v>35</v>
      </c>
      <c r="C1" s="1" t="s">
        <v>41</v>
      </c>
      <c r="D1" s="1" t="s">
        <v>42</v>
      </c>
      <c r="E1" s="1" t="s">
        <v>66</v>
      </c>
      <c r="F1" s="1" t="s">
        <v>33</v>
      </c>
      <c r="G1" s="1" t="s">
        <v>67</v>
      </c>
    </row>
    <row r="2" spans="1:7">
      <c r="A2" s="19">
        <v>1</v>
      </c>
      <c r="B2" s="16" t="s">
        <v>36</v>
      </c>
      <c r="C2" s="16" t="s">
        <v>34</v>
      </c>
      <c r="D2" s="16" t="s">
        <v>74</v>
      </c>
      <c r="E2" s="16">
        <v>1</v>
      </c>
      <c r="F2" s="16">
        <v>1</v>
      </c>
      <c r="G2" s="16">
        <v>0</v>
      </c>
    </row>
    <row r="3" spans="1:7">
      <c r="A3" s="19">
        <v>2</v>
      </c>
      <c r="B3" s="19" t="s">
        <v>36</v>
      </c>
      <c r="C3" s="19" t="s">
        <v>44</v>
      </c>
      <c r="D3" s="19" t="s">
        <v>45</v>
      </c>
      <c r="E3" s="19">
        <v>0</v>
      </c>
      <c r="F3" s="19">
        <v>0</v>
      </c>
      <c r="G3" s="19">
        <v>1</v>
      </c>
    </row>
    <row r="4" spans="1:7">
      <c r="A4" s="20">
        <v>3</v>
      </c>
      <c r="B4" s="16" t="s">
        <v>36</v>
      </c>
      <c r="C4" s="16" t="s">
        <v>85</v>
      </c>
      <c r="D4" s="16" t="s">
        <v>84</v>
      </c>
      <c r="E4" s="16">
        <v>0</v>
      </c>
      <c r="F4" s="16">
        <v>0</v>
      </c>
      <c r="G4" s="16">
        <v>1</v>
      </c>
    </row>
    <row r="5" spans="1:7">
      <c r="A5" s="20">
        <v>4</v>
      </c>
      <c r="B5" s="19" t="s">
        <v>36</v>
      </c>
      <c r="C5" s="19" t="s">
        <v>44</v>
      </c>
      <c r="D5" s="19" t="s">
        <v>81</v>
      </c>
      <c r="E5" s="19">
        <v>0</v>
      </c>
      <c r="F5" s="19">
        <v>0</v>
      </c>
      <c r="G5" s="19">
        <v>1</v>
      </c>
    </row>
    <row r="6" spans="1:7">
      <c r="A6" s="16">
        <v>5</v>
      </c>
      <c r="B6" s="16" t="s">
        <v>36</v>
      </c>
      <c r="C6" s="16" t="s">
        <v>86</v>
      </c>
      <c r="D6" s="16" t="s">
        <v>87</v>
      </c>
      <c r="E6" s="16">
        <v>0</v>
      </c>
      <c r="F6" s="16">
        <v>0</v>
      </c>
      <c r="G6" s="16">
        <v>1</v>
      </c>
    </row>
    <row r="7" spans="1:7">
      <c r="A7" s="16">
        <v>6</v>
      </c>
      <c r="B7" s="16" t="s">
        <v>36</v>
      </c>
      <c r="C7" s="16" t="s">
        <v>44</v>
      </c>
      <c r="D7" s="16" t="s">
        <v>83</v>
      </c>
      <c r="E7" s="16">
        <v>0</v>
      </c>
      <c r="F7" s="16">
        <v>0</v>
      </c>
      <c r="G7" s="16">
        <v>1</v>
      </c>
    </row>
    <row r="8" spans="1:7">
      <c r="A8" s="21">
        <v>7</v>
      </c>
      <c r="B8" s="16" t="s">
        <v>38</v>
      </c>
      <c r="C8" s="16" t="s">
        <v>43</v>
      </c>
      <c r="D8" s="16" t="s">
        <v>76</v>
      </c>
      <c r="E8" s="16">
        <v>1</v>
      </c>
      <c r="F8" s="16">
        <v>1</v>
      </c>
      <c r="G8" s="16">
        <v>0</v>
      </c>
    </row>
    <row r="9" spans="1:7">
      <c r="A9" s="19">
        <v>8</v>
      </c>
      <c r="B9" s="19" t="s">
        <v>46</v>
      </c>
      <c r="C9" s="19" t="s">
        <v>43</v>
      </c>
      <c r="D9" s="19" t="s">
        <v>77</v>
      </c>
      <c r="E9" s="19">
        <v>0</v>
      </c>
      <c r="F9" s="19">
        <v>1</v>
      </c>
      <c r="G9" s="19">
        <v>0</v>
      </c>
    </row>
    <row r="10" spans="1:7">
      <c r="A10" s="21">
        <v>9</v>
      </c>
      <c r="B10" s="16" t="s">
        <v>38</v>
      </c>
      <c r="C10" s="16" t="s">
        <v>47</v>
      </c>
      <c r="D10" s="16" t="s">
        <v>88</v>
      </c>
      <c r="E10" s="16">
        <v>0</v>
      </c>
      <c r="F10" s="16">
        <v>0</v>
      </c>
      <c r="G10" s="16">
        <v>1</v>
      </c>
    </row>
    <row r="11" spans="1:7">
      <c r="A11" s="21">
        <v>10</v>
      </c>
      <c r="B11" s="16" t="s">
        <v>39</v>
      </c>
      <c r="C11" s="16" t="s">
        <v>39</v>
      </c>
      <c r="D11" s="16" t="s">
        <v>75</v>
      </c>
      <c r="E11" s="16">
        <v>1</v>
      </c>
      <c r="F11" s="16">
        <v>0</v>
      </c>
      <c r="G11" s="16">
        <v>0</v>
      </c>
    </row>
    <row r="12" spans="1:7">
      <c r="A12" s="21">
        <v>11</v>
      </c>
      <c r="B12" s="39" t="s">
        <v>228</v>
      </c>
      <c r="C12" s="16" t="s">
        <v>34</v>
      </c>
      <c r="D12" s="16" t="s">
        <v>229</v>
      </c>
      <c r="E12" s="16">
        <v>1</v>
      </c>
      <c r="F12" s="16">
        <v>0</v>
      </c>
      <c r="G12" s="16">
        <v>0</v>
      </c>
    </row>
    <row r="13" spans="1:7">
      <c r="A13" s="21">
        <v>100</v>
      </c>
      <c r="B13" s="16" t="s">
        <v>37</v>
      </c>
      <c r="C13" s="16" t="s">
        <v>48</v>
      </c>
      <c r="D13" s="16" t="s">
        <v>89</v>
      </c>
      <c r="E13" s="16">
        <v>1</v>
      </c>
      <c r="F13" s="16">
        <v>0</v>
      </c>
      <c r="G13" s="16">
        <v>0</v>
      </c>
    </row>
    <row r="14" spans="1:7">
      <c r="A14" s="21">
        <v>101</v>
      </c>
      <c r="B14" s="16" t="s">
        <v>37</v>
      </c>
      <c r="C14" s="16" t="s">
        <v>48</v>
      </c>
      <c r="D14" s="16" t="s">
        <v>90</v>
      </c>
      <c r="E14" s="16">
        <v>1</v>
      </c>
      <c r="F14" s="16">
        <v>1</v>
      </c>
      <c r="G14" s="16">
        <v>0</v>
      </c>
    </row>
    <row r="15" spans="1:7">
      <c r="A15" s="21">
        <v>102</v>
      </c>
      <c r="B15" s="16" t="s">
        <v>37</v>
      </c>
      <c r="C15" s="16" t="s">
        <v>48</v>
      </c>
      <c r="D15" s="16" t="s">
        <v>91</v>
      </c>
      <c r="E15" s="16">
        <v>0</v>
      </c>
      <c r="F15" s="16">
        <v>0</v>
      </c>
      <c r="G15" s="16">
        <v>1</v>
      </c>
    </row>
    <row r="16" spans="1:7">
      <c r="A16" s="21">
        <v>103</v>
      </c>
      <c r="B16" s="16" t="s">
        <v>37</v>
      </c>
      <c r="C16" s="16" t="s">
        <v>48</v>
      </c>
      <c r="D16" s="16" t="s">
        <v>92</v>
      </c>
      <c r="E16" s="16">
        <v>0</v>
      </c>
      <c r="F16" s="16">
        <v>1</v>
      </c>
      <c r="G16" s="16">
        <v>0</v>
      </c>
    </row>
    <row r="17" spans="1:8">
      <c r="A17" s="21">
        <v>104</v>
      </c>
      <c r="B17" s="16" t="s">
        <v>37</v>
      </c>
      <c r="C17" s="16" t="s">
        <v>48</v>
      </c>
      <c r="D17" s="16" t="s">
        <v>94</v>
      </c>
      <c r="E17" s="16">
        <v>0</v>
      </c>
      <c r="F17" s="16">
        <v>0</v>
      </c>
      <c r="G17" s="16">
        <v>1</v>
      </c>
    </row>
    <row r="18" spans="1:8">
      <c r="A18" s="21">
        <v>105</v>
      </c>
      <c r="B18" s="16" t="s">
        <v>37</v>
      </c>
      <c r="C18" s="16" t="s">
        <v>48</v>
      </c>
      <c r="D18" s="16" t="s">
        <v>95</v>
      </c>
      <c r="E18" s="16">
        <v>0</v>
      </c>
      <c r="F18" s="16">
        <v>0</v>
      </c>
      <c r="G18" s="16">
        <v>1</v>
      </c>
    </row>
    <row r="19" spans="1:8">
      <c r="A19" s="21">
        <v>106</v>
      </c>
      <c r="B19" s="16" t="s">
        <v>37</v>
      </c>
      <c r="C19" s="16" t="s">
        <v>48</v>
      </c>
      <c r="D19" s="16" t="s">
        <v>96</v>
      </c>
      <c r="E19" s="16">
        <v>0</v>
      </c>
      <c r="F19" s="16">
        <v>0</v>
      </c>
      <c r="G19" s="16">
        <v>1</v>
      </c>
    </row>
    <row r="20" spans="1:8">
      <c r="A20" s="21">
        <v>200</v>
      </c>
      <c r="B20" s="16" t="s">
        <v>37</v>
      </c>
      <c r="C20" s="16" t="s">
        <v>48</v>
      </c>
      <c r="D20" s="16" t="s">
        <v>236</v>
      </c>
      <c r="E20" s="16">
        <v>0</v>
      </c>
      <c r="F20" s="16">
        <v>1</v>
      </c>
      <c r="G20" s="16">
        <v>0</v>
      </c>
    </row>
    <row r="21" spans="1:8">
      <c r="A21" s="21">
        <v>201</v>
      </c>
      <c r="B21" s="16" t="s">
        <v>37</v>
      </c>
      <c r="C21" s="16" t="s">
        <v>48</v>
      </c>
      <c r="D21" s="16" t="s">
        <v>93</v>
      </c>
      <c r="E21" s="16">
        <v>1</v>
      </c>
      <c r="F21" s="16">
        <v>1</v>
      </c>
      <c r="G21" s="16">
        <v>1</v>
      </c>
    </row>
    <row r="22" spans="1:8">
      <c r="A22" s="21">
        <v>202</v>
      </c>
      <c r="B22" s="16" t="s">
        <v>37</v>
      </c>
      <c r="C22" s="16" t="s">
        <v>48</v>
      </c>
      <c r="D22" s="16" t="s">
        <v>232</v>
      </c>
      <c r="E22" s="16">
        <v>1</v>
      </c>
      <c r="F22" s="16">
        <v>1</v>
      </c>
      <c r="G22" s="16">
        <v>1</v>
      </c>
      <c r="H22" s="18"/>
    </row>
    <row r="23" spans="1:8">
      <c r="A23" s="21">
        <v>203</v>
      </c>
      <c r="B23" s="16" t="s">
        <v>37</v>
      </c>
      <c r="C23" s="16" t="s">
        <v>48</v>
      </c>
      <c r="D23" s="16" t="s">
        <v>97</v>
      </c>
      <c r="E23" s="16">
        <v>0</v>
      </c>
      <c r="F23" s="16">
        <v>1</v>
      </c>
      <c r="G23" s="16">
        <v>1</v>
      </c>
    </row>
    <row r="24" spans="1:8">
      <c r="A24" s="21">
        <v>204</v>
      </c>
      <c r="B24" s="16" t="s">
        <v>37</v>
      </c>
      <c r="C24" s="16" t="s">
        <v>48</v>
      </c>
      <c r="D24" s="16" t="s">
        <v>98</v>
      </c>
      <c r="E24" s="16">
        <v>0</v>
      </c>
      <c r="F24" s="16">
        <v>1</v>
      </c>
      <c r="G24" s="16">
        <v>1</v>
      </c>
    </row>
    <row r="25" spans="1:8">
      <c r="A25" s="21">
        <v>205</v>
      </c>
      <c r="B25" s="16" t="s">
        <v>37</v>
      </c>
      <c r="C25" s="16" t="s">
        <v>48</v>
      </c>
      <c r="D25" s="16" t="s">
        <v>99</v>
      </c>
      <c r="E25" s="16">
        <v>0</v>
      </c>
      <c r="F25" s="16">
        <v>1</v>
      </c>
      <c r="G25" s="16">
        <v>1</v>
      </c>
    </row>
    <row r="26" spans="1:8">
      <c r="A26" s="21">
        <v>206</v>
      </c>
      <c r="B26" s="16" t="s">
        <v>37</v>
      </c>
      <c r="C26" s="16" t="s">
        <v>48</v>
      </c>
      <c r="D26" s="16" t="s">
        <v>100</v>
      </c>
      <c r="E26" s="16">
        <v>0</v>
      </c>
      <c r="F26" s="16">
        <v>1</v>
      </c>
      <c r="G26" s="16">
        <v>1</v>
      </c>
    </row>
    <row r="27" spans="1:8">
      <c r="A27" s="21">
        <v>300</v>
      </c>
      <c r="B27" s="16" t="s">
        <v>37</v>
      </c>
      <c r="C27" s="16" t="s">
        <v>48</v>
      </c>
      <c r="D27" s="16" t="s">
        <v>101</v>
      </c>
      <c r="E27" s="16">
        <v>0</v>
      </c>
      <c r="F27" s="16">
        <v>0</v>
      </c>
      <c r="G27" s="16">
        <v>1</v>
      </c>
    </row>
    <row r="28" spans="1:8">
      <c r="A28" s="21">
        <v>301</v>
      </c>
      <c r="B28" s="16" t="s">
        <v>37</v>
      </c>
      <c r="C28" s="16" t="s">
        <v>48</v>
      </c>
      <c r="D28" s="16" t="s">
        <v>102</v>
      </c>
      <c r="E28" s="16">
        <v>0</v>
      </c>
      <c r="F28" s="16">
        <v>1</v>
      </c>
      <c r="G28" s="16">
        <v>1</v>
      </c>
    </row>
    <row r="29" spans="1:8">
      <c r="A29" s="21">
        <v>302</v>
      </c>
      <c r="B29" s="16" t="s">
        <v>37</v>
      </c>
      <c r="C29" s="16" t="s">
        <v>48</v>
      </c>
      <c r="D29" s="16" t="s">
        <v>103</v>
      </c>
      <c r="E29" s="16">
        <v>0</v>
      </c>
      <c r="F29" s="16">
        <v>0</v>
      </c>
      <c r="G29" s="16">
        <v>1</v>
      </c>
    </row>
    <row r="30" spans="1:8">
      <c r="A30" s="21">
        <v>303</v>
      </c>
      <c r="B30" s="16" t="s">
        <v>37</v>
      </c>
      <c r="C30" s="16" t="s">
        <v>48</v>
      </c>
      <c r="D30" s="16" t="s">
        <v>104</v>
      </c>
      <c r="E30" s="16">
        <v>0</v>
      </c>
      <c r="F30" s="16">
        <v>1</v>
      </c>
      <c r="G30" s="16">
        <v>1</v>
      </c>
    </row>
    <row r="31" spans="1:8">
      <c r="A31" s="21">
        <v>304</v>
      </c>
      <c r="B31" s="16" t="s">
        <v>37</v>
      </c>
      <c r="C31" s="16" t="s">
        <v>48</v>
      </c>
      <c r="D31" s="16" t="s">
        <v>105</v>
      </c>
      <c r="E31" s="16">
        <v>0</v>
      </c>
      <c r="F31" s="16">
        <v>0</v>
      </c>
      <c r="G31" s="16">
        <v>1</v>
      </c>
    </row>
    <row r="32" spans="1:8">
      <c r="A32" s="21">
        <v>305</v>
      </c>
      <c r="B32" s="16" t="s">
        <v>37</v>
      </c>
      <c r="C32" s="16" t="s">
        <v>48</v>
      </c>
      <c r="D32" s="16" t="s">
        <v>106</v>
      </c>
      <c r="E32" s="16">
        <v>0</v>
      </c>
      <c r="F32" s="16">
        <v>0</v>
      </c>
      <c r="G32" s="16">
        <v>1</v>
      </c>
    </row>
    <row r="33" spans="1:7">
      <c r="A33" s="21">
        <v>306</v>
      </c>
      <c r="B33" s="16" t="s">
        <v>37</v>
      </c>
      <c r="C33" s="16" t="s">
        <v>48</v>
      </c>
      <c r="D33" s="16" t="s">
        <v>107</v>
      </c>
      <c r="E33" s="16">
        <v>0</v>
      </c>
      <c r="F33" s="16">
        <v>0</v>
      </c>
      <c r="G33" s="16">
        <v>1</v>
      </c>
    </row>
    <row r="34" spans="1:7">
      <c r="A34" s="21">
        <v>400</v>
      </c>
      <c r="B34" s="16" t="s">
        <v>37</v>
      </c>
      <c r="C34" s="16" t="s">
        <v>48</v>
      </c>
      <c r="D34" s="16" t="s">
        <v>108</v>
      </c>
      <c r="E34" s="16">
        <v>0</v>
      </c>
      <c r="F34" s="16">
        <v>1</v>
      </c>
      <c r="G34" s="16">
        <v>0</v>
      </c>
    </row>
    <row r="35" spans="1:7">
      <c r="A35" s="21">
        <v>401</v>
      </c>
      <c r="B35" s="16" t="s">
        <v>37</v>
      </c>
      <c r="C35" s="16" t="s">
        <v>48</v>
      </c>
      <c r="D35" s="16" t="s">
        <v>235</v>
      </c>
      <c r="E35" s="16">
        <v>0</v>
      </c>
      <c r="F35" s="16">
        <v>1</v>
      </c>
      <c r="G35" s="16">
        <v>0</v>
      </c>
    </row>
    <row r="36" spans="1:7">
      <c r="A36" s="21">
        <v>402</v>
      </c>
      <c r="B36" s="16" t="s">
        <v>37</v>
      </c>
      <c r="C36" s="16" t="s">
        <v>48</v>
      </c>
      <c r="D36" s="16" t="s">
        <v>109</v>
      </c>
      <c r="E36" s="16">
        <v>0</v>
      </c>
      <c r="F36" s="16">
        <v>1</v>
      </c>
      <c r="G36" s="16">
        <v>1</v>
      </c>
    </row>
    <row r="37" spans="1:7">
      <c r="A37" s="21">
        <v>403</v>
      </c>
      <c r="B37" s="16" t="s">
        <v>37</v>
      </c>
      <c r="C37" s="16" t="s">
        <v>48</v>
      </c>
      <c r="D37" s="16" t="s">
        <v>110</v>
      </c>
      <c r="E37" s="16">
        <v>0</v>
      </c>
      <c r="F37" s="16">
        <v>1</v>
      </c>
      <c r="G37" s="16">
        <v>1</v>
      </c>
    </row>
    <row r="38" spans="1:7">
      <c r="A38" s="21">
        <v>404</v>
      </c>
      <c r="B38" s="16" t="s">
        <v>37</v>
      </c>
      <c r="C38" s="16" t="s">
        <v>48</v>
      </c>
      <c r="D38" s="16" t="s">
        <v>111</v>
      </c>
      <c r="E38" s="16">
        <v>0</v>
      </c>
      <c r="F38" s="16">
        <v>1</v>
      </c>
      <c r="G38" s="16">
        <v>1</v>
      </c>
    </row>
    <row r="39" spans="1:7">
      <c r="A39" s="21">
        <v>405</v>
      </c>
      <c r="B39" s="16" t="s">
        <v>37</v>
      </c>
      <c r="C39" s="16" t="s">
        <v>48</v>
      </c>
      <c r="D39" s="16" t="s">
        <v>112</v>
      </c>
      <c r="E39" s="16">
        <v>0</v>
      </c>
      <c r="F39" s="16">
        <v>1</v>
      </c>
      <c r="G39" s="16">
        <v>1</v>
      </c>
    </row>
    <row r="40" spans="1:7">
      <c r="A40" s="21">
        <v>500</v>
      </c>
      <c r="B40" s="16" t="s">
        <v>37</v>
      </c>
      <c r="C40" s="16" t="s">
        <v>48</v>
      </c>
      <c r="D40" s="16" t="s">
        <v>113</v>
      </c>
      <c r="E40" s="16">
        <v>0</v>
      </c>
      <c r="F40" s="16">
        <v>0</v>
      </c>
      <c r="G40" s="16">
        <v>1</v>
      </c>
    </row>
    <row r="41" spans="1:7">
      <c r="A41" s="21">
        <v>501</v>
      </c>
      <c r="B41" s="16" t="s">
        <v>37</v>
      </c>
      <c r="C41" s="16" t="s">
        <v>48</v>
      </c>
      <c r="D41" s="16" t="s">
        <v>114</v>
      </c>
      <c r="E41" s="16">
        <v>0</v>
      </c>
      <c r="F41" s="16">
        <v>1</v>
      </c>
      <c r="G41" s="16">
        <v>1</v>
      </c>
    </row>
    <row r="42" spans="1:7">
      <c r="A42" s="21">
        <v>502</v>
      </c>
      <c r="B42" s="16" t="s">
        <v>37</v>
      </c>
      <c r="C42" s="16" t="s">
        <v>48</v>
      </c>
      <c r="D42" s="16" t="s">
        <v>115</v>
      </c>
      <c r="E42" s="16">
        <v>0</v>
      </c>
      <c r="F42" s="16">
        <v>0</v>
      </c>
      <c r="G42" s="16">
        <v>1</v>
      </c>
    </row>
    <row r="43" spans="1:7">
      <c r="A43" s="21">
        <v>503</v>
      </c>
      <c r="B43" s="16" t="s">
        <v>37</v>
      </c>
      <c r="C43" s="16" t="s">
        <v>48</v>
      </c>
      <c r="D43" s="16" t="s">
        <v>116</v>
      </c>
      <c r="E43" s="16">
        <v>0</v>
      </c>
      <c r="F43" s="16">
        <v>1</v>
      </c>
      <c r="G43" s="16">
        <v>1</v>
      </c>
    </row>
    <row r="44" spans="1:7">
      <c r="A44" s="21">
        <v>504</v>
      </c>
      <c r="B44" s="16" t="s">
        <v>37</v>
      </c>
      <c r="C44" s="16" t="s">
        <v>48</v>
      </c>
      <c r="D44" s="16" t="s">
        <v>117</v>
      </c>
      <c r="E44" s="16">
        <v>0</v>
      </c>
      <c r="F44" s="16">
        <v>0</v>
      </c>
      <c r="G44" s="16">
        <v>1</v>
      </c>
    </row>
    <row r="45" spans="1:7">
      <c r="A45" s="21">
        <v>505</v>
      </c>
      <c r="B45" s="16" t="s">
        <v>37</v>
      </c>
      <c r="C45" s="16" t="s">
        <v>48</v>
      </c>
      <c r="D45" s="16" t="s">
        <v>118</v>
      </c>
      <c r="E45" s="16">
        <v>0</v>
      </c>
      <c r="F45" s="16">
        <v>0</v>
      </c>
      <c r="G45" s="16">
        <v>1</v>
      </c>
    </row>
    <row r="46" spans="1:7">
      <c r="A46" s="21">
        <v>506</v>
      </c>
      <c r="B46" s="16" t="s">
        <v>37</v>
      </c>
      <c r="C46" s="16" t="s">
        <v>48</v>
      </c>
      <c r="D46" s="16" t="s">
        <v>119</v>
      </c>
      <c r="E46" s="16">
        <v>0</v>
      </c>
      <c r="F46" s="16">
        <v>0</v>
      </c>
      <c r="G46" s="16">
        <v>1</v>
      </c>
    </row>
    <row r="47" spans="1:7">
      <c r="A47" s="21">
        <v>600</v>
      </c>
      <c r="B47" s="16" t="s">
        <v>37</v>
      </c>
      <c r="C47" s="16" t="s">
        <v>48</v>
      </c>
      <c r="D47" s="16" t="s">
        <v>120</v>
      </c>
      <c r="E47" s="16">
        <v>0</v>
      </c>
      <c r="F47" s="16">
        <v>0</v>
      </c>
      <c r="G47" s="16">
        <v>1</v>
      </c>
    </row>
    <row r="48" spans="1:7">
      <c r="A48" s="21">
        <v>601</v>
      </c>
      <c r="B48" s="16" t="s">
        <v>37</v>
      </c>
      <c r="C48" s="16" t="s">
        <v>48</v>
      </c>
      <c r="D48" s="16" t="s">
        <v>121</v>
      </c>
      <c r="E48" s="16">
        <v>0</v>
      </c>
      <c r="F48" s="16">
        <v>1</v>
      </c>
      <c r="G48" s="16">
        <v>1</v>
      </c>
    </row>
    <row r="49" spans="1:7">
      <c r="A49" s="21">
        <v>602</v>
      </c>
      <c r="B49" s="16" t="s">
        <v>37</v>
      </c>
      <c r="C49" s="16" t="s">
        <v>48</v>
      </c>
      <c r="D49" s="16" t="s">
        <v>122</v>
      </c>
      <c r="E49" s="16">
        <v>0</v>
      </c>
      <c r="F49" s="16">
        <v>0</v>
      </c>
      <c r="G49" s="16">
        <v>1</v>
      </c>
    </row>
    <row r="50" spans="1:7">
      <c r="A50" s="21">
        <v>603</v>
      </c>
      <c r="B50" s="16" t="s">
        <v>37</v>
      </c>
      <c r="C50" s="16" t="s">
        <v>48</v>
      </c>
      <c r="D50" s="16" t="s">
        <v>123</v>
      </c>
      <c r="E50" s="16">
        <v>0</v>
      </c>
      <c r="F50" s="16">
        <v>1</v>
      </c>
      <c r="G50" s="16">
        <v>1</v>
      </c>
    </row>
    <row r="51" spans="1:7">
      <c r="A51" s="21">
        <v>604</v>
      </c>
      <c r="B51" s="16" t="s">
        <v>37</v>
      </c>
      <c r="C51" s="16" t="s">
        <v>48</v>
      </c>
      <c r="D51" s="16" t="s">
        <v>124</v>
      </c>
      <c r="E51" s="16">
        <v>0</v>
      </c>
      <c r="F51" s="16">
        <v>0</v>
      </c>
      <c r="G51" s="16">
        <v>1</v>
      </c>
    </row>
    <row r="52" spans="1:7">
      <c r="A52" s="21">
        <v>605</v>
      </c>
      <c r="B52" s="16" t="s">
        <v>37</v>
      </c>
      <c r="C52" s="16" t="s">
        <v>48</v>
      </c>
      <c r="D52" s="16" t="s">
        <v>125</v>
      </c>
      <c r="E52" s="16">
        <v>0</v>
      </c>
      <c r="F52" s="16">
        <v>0</v>
      </c>
      <c r="G52" s="16">
        <v>1</v>
      </c>
    </row>
    <row r="53" spans="1:7">
      <c r="A53" s="21">
        <v>606</v>
      </c>
      <c r="B53" s="16" t="s">
        <v>37</v>
      </c>
      <c r="C53" s="16" t="s">
        <v>48</v>
      </c>
      <c r="D53" s="16" t="s">
        <v>126</v>
      </c>
      <c r="E53" s="16">
        <v>0</v>
      </c>
      <c r="F53" s="16">
        <v>0</v>
      </c>
      <c r="G53" s="16">
        <v>1</v>
      </c>
    </row>
    <row r="54" spans="1:7">
      <c r="A54" s="21">
        <v>700</v>
      </c>
      <c r="B54" s="16" t="s">
        <v>37</v>
      </c>
      <c r="C54" s="16" t="s">
        <v>48</v>
      </c>
      <c r="D54" s="16" t="s">
        <v>127</v>
      </c>
      <c r="E54" s="16">
        <v>0</v>
      </c>
      <c r="F54" s="16">
        <v>0</v>
      </c>
      <c r="G54" s="16">
        <v>1</v>
      </c>
    </row>
    <row r="55" spans="1:7">
      <c r="A55" s="21">
        <v>701</v>
      </c>
      <c r="B55" s="16" t="s">
        <v>37</v>
      </c>
      <c r="C55" s="16" t="s">
        <v>48</v>
      </c>
      <c r="D55" s="16" t="s">
        <v>128</v>
      </c>
      <c r="E55" s="16">
        <v>0</v>
      </c>
      <c r="F55" s="16">
        <v>1</v>
      </c>
      <c r="G55" s="16">
        <v>1</v>
      </c>
    </row>
    <row r="56" spans="1:7">
      <c r="A56" s="21">
        <v>702</v>
      </c>
      <c r="B56" s="16" t="s">
        <v>37</v>
      </c>
      <c r="C56" s="16" t="s">
        <v>48</v>
      </c>
      <c r="D56" s="16" t="s">
        <v>129</v>
      </c>
      <c r="E56" s="16">
        <v>0</v>
      </c>
      <c r="F56" s="16">
        <v>0</v>
      </c>
      <c r="G56" s="16">
        <v>1</v>
      </c>
    </row>
    <row r="57" spans="1:7">
      <c r="A57" s="21">
        <v>703</v>
      </c>
      <c r="B57" s="16" t="s">
        <v>37</v>
      </c>
      <c r="C57" s="16" t="s">
        <v>48</v>
      </c>
      <c r="D57" s="16" t="s">
        <v>130</v>
      </c>
      <c r="E57" s="16">
        <v>0</v>
      </c>
      <c r="F57" s="16">
        <v>1</v>
      </c>
      <c r="G57" s="16">
        <v>1</v>
      </c>
    </row>
    <row r="58" spans="1:7">
      <c r="A58" s="21">
        <v>704</v>
      </c>
      <c r="B58" s="16" t="s">
        <v>37</v>
      </c>
      <c r="C58" s="16" t="s">
        <v>48</v>
      </c>
      <c r="D58" s="16" t="s">
        <v>131</v>
      </c>
      <c r="E58" s="16">
        <v>0</v>
      </c>
      <c r="F58" s="16">
        <v>0</v>
      </c>
      <c r="G58" s="16">
        <v>1</v>
      </c>
    </row>
    <row r="59" spans="1:7">
      <c r="A59" s="21">
        <v>705</v>
      </c>
      <c r="B59" s="16" t="s">
        <v>37</v>
      </c>
      <c r="C59" s="16" t="s">
        <v>48</v>
      </c>
      <c r="D59" s="16" t="s">
        <v>132</v>
      </c>
      <c r="E59" s="16">
        <v>0</v>
      </c>
      <c r="F59" s="16">
        <v>0</v>
      </c>
      <c r="G59" s="16">
        <v>1</v>
      </c>
    </row>
    <row r="60" spans="1:7">
      <c r="A60" s="21">
        <v>706</v>
      </c>
      <c r="B60" s="16" t="s">
        <v>37</v>
      </c>
      <c r="C60" s="16" t="s">
        <v>48</v>
      </c>
      <c r="D60" s="16" t="s">
        <v>133</v>
      </c>
      <c r="E60" s="16">
        <v>0</v>
      </c>
      <c r="F60" s="16">
        <v>0</v>
      </c>
      <c r="G60" s="16">
        <v>1</v>
      </c>
    </row>
    <row r="61" spans="1:7">
      <c r="A61" s="21">
        <v>707</v>
      </c>
      <c r="B61" s="16" t="s">
        <v>37</v>
      </c>
      <c r="C61" s="16" t="s">
        <v>48</v>
      </c>
      <c r="D61" s="16" t="s">
        <v>230</v>
      </c>
      <c r="E61" s="16">
        <v>0</v>
      </c>
      <c r="F61" s="16">
        <v>0</v>
      </c>
      <c r="G61" s="16">
        <v>1</v>
      </c>
    </row>
    <row r="62" spans="1:7">
      <c r="A62" s="21">
        <v>708</v>
      </c>
      <c r="B62" s="16" t="s">
        <v>37</v>
      </c>
      <c r="C62" s="16" t="s">
        <v>48</v>
      </c>
      <c r="D62" s="16" t="s">
        <v>231</v>
      </c>
      <c r="E62" s="16">
        <v>0</v>
      </c>
      <c r="F62" s="16">
        <v>1</v>
      </c>
      <c r="G62" s="16">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R102"/>
  <sheetViews>
    <sheetView workbookViewId="0">
      <selection activeCell="A14" sqref="A14:XFD17"/>
    </sheetView>
  </sheetViews>
  <sheetFormatPr defaultRowHeight="14.4"/>
  <cols>
    <col min="1" max="1" width="6.88671875" bestFit="1" customWidth="1"/>
    <col min="2" max="2" width="8.33203125" bestFit="1" customWidth="1"/>
    <col min="3" max="3" width="6.44140625" customWidth="1"/>
    <col min="4" max="4" width="13.5546875" bestFit="1" customWidth="1"/>
    <col min="5" max="5" width="12.109375" bestFit="1" customWidth="1"/>
    <col min="6" max="6" width="18.6640625" bestFit="1" customWidth="1"/>
    <col min="7" max="7" width="9.6640625" bestFit="1" customWidth="1"/>
    <col min="8" max="8" width="8.6640625" bestFit="1" customWidth="1"/>
    <col min="10" max="10" width="13.109375" customWidth="1"/>
    <col min="11" max="11" width="16.6640625" bestFit="1" customWidth="1"/>
    <col min="12" max="12" width="19.33203125" customWidth="1"/>
    <col min="13" max="13" width="15.6640625" bestFit="1" customWidth="1"/>
    <col min="14" max="14" width="8.44140625" customWidth="1"/>
    <col min="15" max="15" width="12.88671875" bestFit="1" customWidth="1"/>
    <col min="16" max="16" width="24.88671875" bestFit="1" customWidth="1"/>
    <col min="17" max="17" width="7.6640625" bestFit="1" customWidth="1"/>
    <col min="18" max="18" width="10.33203125" bestFit="1" customWidth="1"/>
    <col min="19" max="19" width="9.109375" bestFit="1" customWidth="1"/>
    <col min="20" max="20" width="8.6640625" bestFit="1" customWidth="1"/>
    <col min="21" max="21" width="8.88671875" bestFit="1" customWidth="1"/>
    <col min="22" max="22" width="8.33203125" bestFit="1" customWidth="1"/>
    <col min="23" max="23" width="8" bestFit="1" customWidth="1"/>
    <col min="24" max="24" width="7.6640625" bestFit="1" customWidth="1"/>
    <col min="27" max="27" width="11.88671875" customWidth="1"/>
    <col min="28" max="28" width="15" bestFit="1" customWidth="1"/>
    <col min="29" max="30" width="12.88671875" bestFit="1" customWidth="1"/>
    <col min="31" max="31" width="12.44140625" bestFit="1" customWidth="1"/>
    <col min="32" max="32" width="15" bestFit="1" customWidth="1"/>
    <col min="33" max="33" width="8.6640625" bestFit="1" customWidth="1"/>
    <col min="35" max="35" width="12.33203125" customWidth="1"/>
    <col min="36" max="36" width="12" bestFit="1" customWidth="1"/>
    <col min="37" max="37" width="15.5546875" customWidth="1"/>
    <col min="38" max="38" width="18.44140625" customWidth="1"/>
    <col min="39" max="39" width="18.5546875" customWidth="1"/>
    <col min="40" max="40" width="15.5546875" customWidth="1"/>
    <col min="41" max="41" width="12" bestFit="1" customWidth="1"/>
    <col min="42" max="42" width="13.33203125" customWidth="1"/>
    <col min="43" max="43" width="10.33203125" customWidth="1"/>
    <col min="44" max="44" width="17" customWidth="1"/>
    <col min="45" max="45" width="13.6640625" customWidth="1"/>
    <col min="46" max="46" width="11.5546875" customWidth="1"/>
    <col min="47" max="47" width="12.33203125" customWidth="1"/>
    <col min="48" max="48" width="12" bestFit="1" customWidth="1"/>
    <col min="49" max="49" width="11.33203125" customWidth="1"/>
    <col min="50" max="50" width="16" bestFit="1" customWidth="1"/>
    <col min="51" max="51" width="15.5546875" bestFit="1" customWidth="1"/>
    <col min="52" max="52" width="15.33203125" bestFit="1" customWidth="1"/>
    <col min="53" max="53" width="14.88671875" bestFit="1" customWidth="1"/>
    <col min="54" max="54" width="7.6640625" customWidth="1"/>
    <col min="55" max="55" width="9.109375" bestFit="1" customWidth="1"/>
    <col min="56" max="56" width="7.109375" bestFit="1" customWidth="1"/>
    <col min="57" max="57" width="7.88671875" bestFit="1" customWidth="1"/>
    <col min="58" max="59" width="7.44140625" bestFit="1" customWidth="1"/>
    <col min="60" max="61" width="7.109375" bestFit="1" customWidth="1"/>
  </cols>
  <sheetData>
    <row r="1" spans="1:70">
      <c r="AJ1">
        <v>0.72</v>
      </c>
      <c r="BK1" s="99" t="s">
        <v>207</v>
      </c>
      <c r="BL1" s="99"/>
      <c r="BM1" s="99"/>
      <c r="BN1" s="99"/>
      <c r="BO1" s="99"/>
      <c r="BP1" s="99"/>
      <c r="BQ1" s="99"/>
      <c r="BR1" s="99"/>
    </row>
    <row r="2" spans="1:70">
      <c r="A2" s="1" t="s">
        <v>0</v>
      </c>
      <c r="B2" s="1" t="s">
        <v>1</v>
      </c>
      <c r="C2" s="1" t="s">
        <v>2</v>
      </c>
      <c r="D2" s="1" t="s">
        <v>3</v>
      </c>
      <c r="E2" s="1" t="s">
        <v>4</v>
      </c>
      <c r="F2" s="1" t="s">
        <v>5</v>
      </c>
      <c r="G2" s="1" t="s">
        <v>6</v>
      </c>
      <c r="H2" s="1" t="s">
        <v>191</v>
      </c>
      <c r="I2" s="1" t="s">
        <v>22</v>
      </c>
      <c r="J2" s="1" t="s">
        <v>23</v>
      </c>
      <c r="K2" s="1" t="s">
        <v>30</v>
      </c>
      <c r="L2" s="1" t="s">
        <v>31</v>
      </c>
      <c r="M2" s="1" t="s">
        <v>24</v>
      </c>
      <c r="N2" s="1" t="s">
        <v>78</v>
      </c>
      <c r="O2" s="1"/>
      <c r="P2" s="1" t="s">
        <v>162</v>
      </c>
      <c r="Q2" s="1" t="s">
        <v>142</v>
      </c>
      <c r="R2" s="1" t="s">
        <v>138</v>
      </c>
      <c r="S2" s="1" t="s">
        <v>140</v>
      </c>
      <c r="T2" s="1" t="s">
        <v>139</v>
      </c>
      <c r="U2" s="1" t="s">
        <v>141</v>
      </c>
      <c r="V2" s="1" t="s">
        <v>170</v>
      </c>
      <c r="W2" s="1" t="s">
        <v>167</v>
      </c>
      <c r="X2" s="1" t="s">
        <v>168</v>
      </c>
      <c r="Y2" s="1" t="s">
        <v>169</v>
      </c>
      <c r="Z2" s="22" t="s">
        <v>59</v>
      </c>
      <c r="AA2" s="22" t="s">
        <v>234</v>
      </c>
      <c r="AB2" s="22" t="s">
        <v>144</v>
      </c>
      <c r="AC2" s="22" t="s">
        <v>172</v>
      </c>
      <c r="AD2" s="22" t="s">
        <v>174</v>
      </c>
      <c r="AE2" s="22" t="s">
        <v>173</v>
      </c>
      <c r="AF2" s="22" t="s">
        <v>233</v>
      </c>
      <c r="AG2" s="22" t="s">
        <v>149</v>
      </c>
      <c r="AH2" s="27" t="s">
        <v>187</v>
      </c>
      <c r="AI2" s="22"/>
      <c r="AJ2" s="22" t="s">
        <v>195</v>
      </c>
      <c r="AK2" s="22" t="s">
        <v>196</v>
      </c>
      <c r="AL2" s="22" t="s">
        <v>212</v>
      </c>
      <c r="AM2" s="22" t="s">
        <v>213</v>
      </c>
      <c r="AN2" s="22" t="s">
        <v>197</v>
      </c>
      <c r="AO2" s="22" t="s">
        <v>194</v>
      </c>
      <c r="AP2" s="22" t="s">
        <v>198</v>
      </c>
      <c r="AQ2" s="22" t="s">
        <v>199</v>
      </c>
      <c r="AR2" s="22" t="s">
        <v>208</v>
      </c>
      <c r="AS2" s="22" t="s">
        <v>209</v>
      </c>
      <c r="AT2" s="22" t="s">
        <v>193</v>
      </c>
      <c r="AU2" s="22" t="s">
        <v>200</v>
      </c>
      <c r="AV2" s="22" t="s">
        <v>201</v>
      </c>
      <c r="AW2" s="22" t="s">
        <v>202</v>
      </c>
      <c r="AX2" s="22" t="s">
        <v>203</v>
      </c>
      <c r="AY2" s="22" t="s">
        <v>204</v>
      </c>
      <c r="AZ2" s="22" t="s">
        <v>205</v>
      </c>
      <c r="BA2" s="22" t="s">
        <v>206</v>
      </c>
      <c r="BB2" s="26" t="s">
        <v>179</v>
      </c>
      <c r="BC2" s="26" t="s">
        <v>180</v>
      </c>
      <c r="BD2" s="26" t="s">
        <v>181</v>
      </c>
      <c r="BE2" s="26" t="s">
        <v>182</v>
      </c>
      <c r="BF2" s="26" t="s">
        <v>183</v>
      </c>
      <c r="BG2" s="26" t="s">
        <v>184</v>
      </c>
      <c r="BH2" s="26" t="s">
        <v>185</v>
      </c>
      <c r="BI2" s="26" t="s">
        <v>186</v>
      </c>
      <c r="BK2" s="26" t="s">
        <v>179</v>
      </c>
      <c r="BL2" s="26" t="s">
        <v>180</v>
      </c>
      <c r="BM2" s="26" t="s">
        <v>181</v>
      </c>
      <c r="BN2" s="26" t="s">
        <v>182</v>
      </c>
      <c r="BO2" s="26" t="s">
        <v>183</v>
      </c>
      <c r="BP2" s="26" t="s">
        <v>184</v>
      </c>
      <c r="BQ2" s="26" t="s">
        <v>185</v>
      </c>
      <c r="BR2" s="26" t="s">
        <v>186</v>
      </c>
    </row>
    <row r="3" spans="1:70">
      <c r="A3" s="12">
        <v>6</v>
      </c>
      <c r="B3" s="15">
        <v>10001</v>
      </c>
      <c r="C3">
        <v>1</v>
      </c>
      <c r="D3" s="2">
        <v>0.35416666666666669</v>
      </c>
      <c r="E3">
        <v>40</v>
      </c>
      <c r="F3" t="s">
        <v>9</v>
      </c>
      <c r="G3" t="s">
        <v>7</v>
      </c>
      <c r="H3" t="s">
        <v>8</v>
      </c>
      <c r="I3">
        <v>2</v>
      </c>
      <c r="J3" t="s">
        <v>25</v>
      </c>
      <c r="K3" s="2">
        <v>0.38194444444444442</v>
      </c>
      <c r="L3" s="2">
        <f>D4-K3</f>
        <v>0.38888888888888895</v>
      </c>
      <c r="M3" t="str">
        <f>H3</f>
        <v>2595DA</v>
      </c>
      <c r="N3">
        <v>1</v>
      </c>
      <c r="P3">
        <v>23</v>
      </c>
      <c r="Q3">
        <v>24.6</v>
      </c>
      <c r="R3">
        <v>284</v>
      </c>
      <c r="S3">
        <v>22.8</v>
      </c>
      <c r="T3">
        <v>83</v>
      </c>
      <c r="U3">
        <v>24.7</v>
      </c>
      <c r="V3">
        <v>58</v>
      </c>
      <c r="W3">
        <v>57</v>
      </c>
      <c r="X3">
        <v>50</v>
      </c>
      <c r="Y3">
        <v>49</v>
      </c>
      <c r="Z3">
        <f>Tours!$Q$39*P3+Tours!$Q$43+Tours!$Q$48+Tours!$Q$49+Tours!$Q$52+Tours!$Q$56+Tours!$Q$57+Tours!$Q$60+Tours!$Q$61+Tours!$Q$66+$Q$51*1</f>
        <v>-1002.629</v>
      </c>
      <c r="AA3">
        <f>Tours!$R$74+Tours!$R$39*P3+Tours!$R$43+Tours!$R$48+Tours!$R$49+Tours!$R$52+Tours!$R$56+Tours!$R$57+Tours!$R$60+Tours!$R$61+Tours!$R$66+Tours!$R$70</f>
        <v>-5.4066000000000001</v>
      </c>
      <c r="AB3">
        <f>Tours!$S$74+Tours!$S$39*T3+Tours!$S$43+Tours!$S$48+Tours!$S$49+Tours!$S$52+Tours!$S$56+Tours!$S$57+Tours!$S$60+Tours!$S$61+Tours!$S$66+Tours!$S$70</f>
        <v>-5.0684000000000005</v>
      </c>
      <c r="AC3">
        <f>Tours!$T$74+Tours!$T$39*V3+Tours!$T$43+Tours!$T$48+Tours!$T$49+Tours!$T$52+Tours!$T$56+Tours!$T$57+Tours!$T$60+Tours!$T$61+Tours!$T$66+Tours!$T$70</f>
        <v>-2.9520199999999992</v>
      </c>
      <c r="AD3">
        <f>Tours!$U$74+Tours!$U$39*W3+Tours!$U$43+Tours!$U$48+Tours!$U$49+Tours!$U$52+Tours!$U$56+Tours!$U$57+Tours!$U$60+Tours!$U$61+Tours!$U$66+Tours!$U$70</f>
        <v>-11.1097</v>
      </c>
      <c r="AE3">
        <f>Tours!$V$74+Tours!$V$39*X3+Tours!$V$43+Tours!$V$48+Tours!$V$49+Tours!$V$52+Tours!$V$56+Tours!$V$57+Tours!$V$60+Tours!$V$61+Tours!$V$66+Tours!$V$70</f>
        <v>-8.1814999999999998</v>
      </c>
      <c r="AF3">
        <f>Tours!$W$74+Tours!$W$39*Y3+Tours!$W$43+Tours!$W$48+Tours!$W$49+Tours!$W$52+Tours!$W$56+Tours!$W$57+Tours!$W$60+Tours!$W$61+Tours!$W$66+Tours!$W$70</f>
        <v>-9.7583400000000005</v>
      </c>
      <c r="AG3">
        <f>Tours!$X$74+Tours!$X$39*R3+Tours!$X$43+Tours!$X$48+Tours!$X$49+Tours!$X$52+Tours!$X$56+Tours!$X$57+Tours!$X$60+Tours!$X$61+Tours!$X$66+Tours!$X$70</f>
        <v>-14.917199999999998</v>
      </c>
      <c r="AH3">
        <f>EXP(Z3)+EXP(AA3)+EXP(AB3)+EXP(AC3)+EXP(AD3)+EXP(AE3)+EXP(AF3)+EXP(AG3)</f>
        <v>6.3366327388695534E-2</v>
      </c>
      <c r="AJ3">
        <f>EXP(0.72*LN(EXP(Z3/0.72)+EXP(AA3/0.72)))</f>
        <v>4.4868696634644779E-3</v>
      </c>
      <c r="AK3">
        <f>EXP(0.72*LN(EXP(AG3/0.72)+EXP(AB3/0.72)))</f>
        <v>6.2924852526516396E-3</v>
      </c>
      <c r="AL3">
        <f>EXP(0.5*LN(EXP(AC3/0.36)+EXP(AD3/0.36)))</f>
        <v>1.6572215057254865E-2</v>
      </c>
      <c r="AM3">
        <f>EXP(0.5*LN(EXP(AE3/0.36)+EXP(AF3/0.36)))</f>
        <v>1.1687725738245536E-5</v>
      </c>
      <c r="AN3">
        <f>EXP(0.72*LN(AL3+AM3))</f>
        <v>5.2260607651292056E-2</v>
      </c>
      <c r="AO3" s="25">
        <f>AJ3/(AJ3+AK3+AN3)</f>
        <v>7.1175005198753097E-2</v>
      </c>
      <c r="AP3" s="25">
        <f>AK3/(AJ3+AK3+AN3)</f>
        <v>9.9817401476454404E-2</v>
      </c>
      <c r="AQ3" s="25">
        <f>AN3/(AJ3+AK3+AN3)</f>
        <v>0.82900759332479235</v>
      </c>
      <c r="AR3" s="35">
        <f>AL3/(AL3+AM3)</f>
        <v>0.9992952367189325</v>
      </c>
      <c r="AS3" s="35">
        <f>AM3/(AL3+AM3)</f>
        <v>7.0476328106743166E-4</v>
      </c>
      <c r="AT3" s="25">
        <f>EXP(Z3/0.72)/(EXP(Z3/0.72)+EXP(AA3/0.72))</f>
        <v>0</v>
      </c>
      <c r="AU3" s="25">
        <f>EXP(AA3/0.252)/(EXP(Z3/0.252)+EXP(AA3/0.252))</f>
        <v>1</v>
      </c>
      <c r="AV3" s="35">
        <f>EXP(AG3/0.72)/(EXP(AG3/0.72)+EXP(AB3/0.72))</f>
        <v>1.1463930358129657E-6</v>
      </c>
      <c r="AW3" s="35">
        <f>EXP(AB3/0.72)/(EXP(AG3/0.72)+EXP(AB3/0.72))</f>
        <v>0.99999885360696417</v>
      </c>
      <c r="AX3" s="35">
        <f>EXP(AC3/0.36)/(EXP(AC3/0.36)+EXP(AD3/0.36))</f>
        <v>0.99999999985585797</v>
      </c>
      <c r="AY3" s="35">
        <f>EXP(AD3/0.36)/(EXP(AC3/0.36)+EXP(AD3/0.36))</f>
        <v>1.4414199549746986E-10</v>
      </c>
      <c r="AZ3" s="35">
        <f>EXP(AE3/0.36)/(EXP(AE3/0.36)+EXP(AF3/0.36))</f>
        <v>0.98763094267379903</v>
      </c>
      <c r="BA3" s="35">
        <f>EXP(AF3/0.36)/(EXP(AE3/0.36)+EXP(AF3/0.36))</f>
        <v>1.2369057326201081E-2</v>
      </c>
      <c r="BB3" s="25">
        <f>AO3*AT3</f>
        <v>0</v>
      </c>
      <c r="BC3" s="25">
        <f>AO3*AU3</f>
        <v>7.1175005198753097E-2</v>
      </c>
      <c r="BD3" s="25">
        <f>AP3*AW3</f>
        <v>9.9817287046480491E-2</v>
      </c>
      <c r="BE3" s="25">
        <f>AQ3*AR3*AX3</f>
        <v>0.82842333909388033</v>
      </c>
      <c r="BF3" s="25">
        <f>AQ3*AR3*AY3</f>
        <v>1.1941059323088113E-10</v>
      </c>
      <c r="BG3" s="25">
        <f>AQ3*AS3*AZ3</f>
        <v>5.7702743890316634E-4</v>
      </c>
      <c r="BH3" s="25">
        <f>AQ3*AS3*BA3</f>
        <v>7.2266725982294414E-6</v>
      </c>
      <c r="BI3" s="25">
        <f>AP3*AV3</f>
        <v>1.1442997390555417E-7</v>
      </c>
      <c r="BK3" s="25">
        <f t="shared" ref="BK3:BR5" si="0">EXP(Z3)/$AH3</f>
        <v>0</v>
      </c>
      <c r="BL3" s="25">
        <f t="shared" si="0"/>
        <v>7.080842220729569E-2</v>
      </c>
      <c r="BM3" s="25">
        <f t="shared" si="0"/>
        <v>9.9303215416225346E-2</v>
      </c>
      <c r="BN3" s="25">
        <f t="shared" si="0"/>
        <v>0.82431929711833973</v>
      </c>
      <c r="BO3" s="25">
        <f t="shared" si="0"/>
        <v>2.3618921218309278E-4</v>
      </c>
      <c r="BP3" s="25">
        <f t="shared" si="0"/>
        <v>4.4153095787283995E-3</v>
      </c>
      <c r="BQ3" s="25">
        <f t="shared" si="0"/>
        <v>9.1232221202539401E-4</v>
      </c>
      <c r="BR3" s="25">
        <f t="shared" si="0"/>
        <v>5.2442552025099611E-6</v>
      </c>
    </row>
    <row r="4" spans="1:70">
      <c r="A4" s="12">
        <v>7</v>
      </c>
      <c r="B4" s="15">
        <v>10001</v>
      </c>
      <c r="C4">
        <v>1</v>
      </c>
      <c r="D4" s="2">
        <v>0.77083333333333337</v>
      </c>
      <c r="E4">
        <v>25</v>
      </c>
      <c r="F4" t="s">
        <v>10</v>
      </c>
      <c r="G4" t="s">
        <v>8</v>
      </c>
      <c r="H4" t="s">
        <v>11</v>
      </c>
      <c r="I4">
        <v>3</v>
      </c>
      <c r="J4" t="s">
        <v>26</v>
      </c>
      <c r="K4" s="2">
        <v>0.78819444444444453</v>
      </c>
      <c r="L4" s="2">
        <f>D5-K4</f>
        <v>0.11458333333333326</v>
      </c>
      <c r="M4" t="str">
        <f t="shared" ref="M4:M17" si="1">H4</f>
        <v>2552HE</v>
      </c>
      <c r="N4">
        <v>1</v>
      </c>
      <c r="P4">
        <v>17</v>
      </c>
      <c r="Q4">
        <v>18.600000000000001</v>
      </c>
      <c r="R4">
        <v>95</v>
      </c>
      <c r="S4">
        <v>7.5</v>
      </c>
      <c r="T4">
        <v>33</v>
      </c>
      <c r="U4">
        <v>8.4</v>
      </c>
      <c r="V4">
        <v>31</v>
      </c>
      <c r="W4">
        <v>30</v>
      </c>
      <c r="X4">
        <v>30</v>
      </c>
      <c r="Y4">
        <v>26</v>
      </c>
      <c r="Z4">
        <f>Tours!$Q$39*P4+Tours!$Q$43+Tours!$Q$48+Tours!$Q$49+Tours!$Q$52+Tours!$Q$56+Tours!$Q$57+Tours!$Q$60+Tours!$Q$61+Tours!$Q$66+$Q$51*1</f>
        <v>-1002.449</v>
      </c>
      <c r="AA4">
        <f>Tours!R74+Tours!R39*P4+Tours!R43+Tours!R48+Tours!R49+Tours!R52+Tours!R56+Tours!R57+Tours!R60+Tours!R61+Tours!R66+Tours!R70</f>
        <v>-5.2733999999999996</v>
      </c>
      <c r="AB4">
        <f>Tours!S74+Tours!S39*T4+Tours!S43+Tours!S48+Tours!S49+Tours!S52+Tours!S56+Tours!S57+Tours!S60+Tours!S61+Tours!S66+Tours!S70</f>
        <v>-1.9784000000000006</v>
      </c>
      <c r="AC4">
        <f>Tours!T74+Tours!T39*V4+Tours!T43+Tours!T48+Tours!T49+Tours!T52+Tours!T56+Tours!T57+Tours!T60+Tours!T61+Tours!T66+Tours!T70</f>
        <v>-2.6930899999999989</v>
      </c>
      <c r="AD4">
        <f>Tours!U74+Tours!U39*W4+Tours!U43+Tours!U48+Tours!U49+Tours!U52+Tours!U56+Tours!U57+Tours!U60+Tours!U61+Tours!U66+Tours!U70</f>
        <v>-11.053000000000001</v>
      </c>
      <c r="AE4">
        <f>Tours!V74+Tours!V39*X4+Tours!V43+Tours!V48+Tours!V49+Tours!V52+Tours!V56+Tours!V57+Tours!V60+Tours!V61+Tours!V66+Tours!V70</f>
        <v>-8.2049000000000003</v>
      </c>
      <c r="AF4">
        <f>Tours!W74+Tours!W39*Y4+Tours!W43+Tours!W48+Tours!W49+Tours!W52+Tours!W56+Tours!W57+Tours!W60+Tours!W61+Tours!W66+Tours!W70</f>
        <v>-9.8811599999999995</v>
      </c>
      <c r="AG4">
        <f>Tours!X74+Tours!X39*R4+Tours!X43+Tours!X48+Tours!X49+Tours!X52+Tours!X56+Tours!X57+Tours!X60+Tours!X61+Tours!X66+Tours!X70</f>
        <v>-5.7885</v>
      </c>
      <c r="AH4">
        <f>EXP(Z4)+EXP(AA4)+EXP(AB4)+EXP(AC4)+EXP(AD4)+EXP(AE4)+EXP(AF4)+EXP(AG4)</f>
        <v>0.21449084005361471</v>
      </c>
      <c r="AJ4">
        <f t="shared" ref="AJ4:AJ5" si="2">EXP(0.72*LN(EXP(Z4/0.72)+EXP(AA4/0.72)))</f>
        <v>5.1261519934857344E-3</v>
      </c>
      <c r="AK4">
        <f t="shared" ref="AK4:AK5" si="3">EXP(0.72*LN(EXP(AG4/0.72)+EXP(AB4/0.72)))</f>
        <v>0.13879107023104917</v>
      </c>
      <c r="AL4">
        <f t="shared" ref="AL4:AL5" si="4">EXP(0.5*LN(EXP(AC4/0.36)+EXP(AD4/0.36)))</f>
        <v>2.3744537433963174E-2</v>
      </c>
      <c r="AM4">
        <f t="shared" ref="AM4:AM5" si="5">EXP(0.5*LN(EXP(AE4/0.36)+EXP(AF4/0.36)))</f>
        <v>1.1297083180424036E-5</v>
      </c>
      <c r="AN4">
        <f t="shared" ref="AN4:AN5" si="6">EXP(0.72*LN(AL4+AM4))</f>
        <v>6.7694690931377061E-2</v>
      </c>
      <c r="AO4" s="25">
        <f t="shared" ref="AO4:AO5" si="7">AJ4/(AJ4+AK4+AN4)</f>
        <v>2.4224307209532552E-2</v>
      </c>
      <c r="AP4" s="25">
        <f t="shared" ref="AP4:AP5" si="8">AK4/(AJ4+AK4+AN4)</f>
        <v>0.65587550417726403</v>
      </c>
      <c r="AQ4" s="25">
        <f t="shared" ref="AQ4:AQ5" si="9">AN4/(AJ4+AK4+AN4)</f>
        <v>0.31990018861320341</v>
      </c>
      <c r="AR4" s="35">
        <f t="shared" ref="AR4:AR5" si="10">AL4/(AL4+AM4)</f>
        <v>0.99952445016518898</v>
      </c>
      <c r="AS4" s="35">
        <f t="shared" ref="AS4:AS5" si="11">AM4/(AL4+AM4)</f>
        <v>4.7554983481095563E-4</v>
      </c>
      <c r="AT4" s="25">
        <f t="shared" ref="AT4:AT5" si="12">EXP(Z4/0.72)/(EXP(Z4/0.72)+EXP(AA4/0.72))</f>
        <v>0</v>
      </c>
      <c r="AU4" s="25">
        <f t="shared" ref="AU4:AU5" si="13">EXP(AA4/0.252)/(EXP(Z4/0.252)+EXP(AA4/0.252))</f>
        <v>1</v>
      </c>
      <c r="AV4" s="35">
        <f t="shared" ref="AV4:AV5" si="14">EXP(AG4/0.72)/(EXP(AG4/0.72)+EXP(AB4/0.72))</f>
        <v>5.0074644023356584E-3</v>
      </c>
      <c r="AW4" s="35">
        <f t="shared" ref="AW4:AW5" si="15">EXP(AB4/0.72)/(EXP(AG4/0.72)+EXP(AB4/0.72))</f>
        <v>0.99499253559766432</v>
      </c>
      <c r="AX4" s="35">
        <f t="shared" ref="AX4:AX5" si="16">EXP(AC4/0.36)/(EXP(AC4/0.36)+EXP(AD4/0.36))</f>
        <v>0.99999999991780875</v>
      </c>
      <c r="AY4" s="35">
        <f t="shared" ref="AY4:AY5" si="17">EXP(AD4/0.36)/(EXP(AC4/0.36)+EXP(AD4/0.36))</f>
        <v>8.2191253691744556E-11</v>
      </c>
      <c r="AZ4" s="35">
        <f t="shared" ref="AZ4:AZ5" si="18">EXP(AE4/0.36)/(EXP(AE4/0.36)+EXP(AF4/0.36))</f>
        <v>0.99058766940865928</v>
      </c>
      <c r="BA4" s="35">
        <f t="shared" ref="BA4:BA5" si="19">EXP(AF4/0.36)/(EXP(AE4/0.36)+EXP(AF4/0.36))</f>
        <v>9.412330591340827E-3</v>
      </c>
      <c r="BB4" s="25">
        <f t="shared" ref="BB4:BB5" si="20">AO4*AT4</f>
        <v>0</v>
      </c>
      <c r="BC4" s="25">
        <f t="shared" ref="BC4:BC5" si="21">AO4*AU4</f>
        <v>2.4224307209532552E-2</v>
      </c>
      <c r="BD4" s="25">
        <f t="shared" ref="BD4:BD5" si="22">AP4*AW4</f>
        <v>0.65259123093773241</v>
      </c>
      <c r="BE4" s="25">
        <f t="shared" ref="BE4:BE5" si="23">AQ4*AR4*AX4</f>
        <v>0.3197480601050719</v>
      </c>
      <c r="BF4" s="25">
        <f t="shared" ref="BF4:BF5" si="24">AQ4*AR4*AY4</f>
        <v>2.6280493927699176E-11</v>
      </c>
      <c r="BG4" s="25">
        <f t="shared" ref="BG4:BG5" si="25">AQ4*AS4*AZ4</f>
        <v>1.5069659828746202E-4</v>
      </c>
      <c r="BH4" s="25">
        <f t="shared" ref="BH4:BH5" si="26">AQ4*AS4*BA4</f>
        <v>1.431883563540428E-6</v>
      </c>
      <c r="BI4" s="25">
        <f t="shared" ref="BI4:BI5" si="27">AP4*AV4</f>
        <v>3.2842732395316019E-3</v>
      </c>
      <c r="BK4" s="25">
        <f t="shared" si="0"/>
        <v>0</v>
      </c>
      <c r="BL4" s="25">
        <f t="shared" si="0"/>
        <v>2.3899165074855355E-2</v>
      </c>
      <c r="BM4" s="25">
        <f t="shared" si="0"/>
        <v>0.64473767214926048</v>
      </c>
      <c r="BN4" s="25">
        <f t="shared" si="0"/>
        <v>0.3154983727307642</v>
      </c>
      <c r="BO4" s="25">
        <f t="shared" si="0"/>
        <v>7.3847252404668997E-5</v>
      </c>
      <c r="BP4" s="25">
        <f t="shared" si="0"/>
        <v>1.2742318471418474E-3</v>
      </c>
      <c r="BQ4" s="25">
        <f t="shared" si="0"/>
        <v>2.3837350760609914E-4</v>
      </c>
      <c r="BR4" s="25">
        <f t="shared" si="0"/>
        <v>1.4278337437967617E-2</v>
      </c>
    </row>
    <row r="5" spans="1:70">
      <c r="A5" s="12">
        <v>8</v>
      </c>
      <c r="B5" s="15">
        <v>10001</v>
      </c>
      <c r="C5">
        <v>1</v>
      </c>
      <c r="D5" s="2">
        <v>0.90277777777777779</v>
      </c>
      <c r="E5">
        <v>70</v>
      </c>
      <c r="F5" t="s">
        <v>12</v>
      </c>
      <c r="G5" t="s">
        <v>11</v>
      </c>
      <c r="H5" t="s">
        <v>7</v>
      </c>
      <c r="I5">
        <v>4</v>
      </c>
      <c r="J5" t="s">
        <v>27</v>
      </c>
      <c r="K5" s="2">
        <v>0.95486111111111116</v>
      </c>
      <c r="L5" s="2">
        <v>4.5138888888888888E-2</v>
      </c>
      <c r="M5" t="str">
        <f t="shared" si="1"/>
        <v>3036XP</v>
      </c>
      <c r="N5">
        <v>1</v>
      </c>
      <c r="P5">
        <v>25</v>
      </c>
      <c r="Q5">
        <v>28.4</v>
      </c>
      <c r="R5">
        <v>316</v>
      </c>
      <c r="S5">
        <v>25.6</v>
      </c>
      <c r="T5">
        <v>92</v>
      </c>
      <c r="U5">
        <v>29</v>
      </c>
      <c r="V5">
        <v>84</v>
      </c>
      <c r="W5">
        <v>76</v>
      </c>
      <c r="X5">
        <v>80</v>
      </c>
      <c r="Y5">
        <v>73</v>
      </c>
      <c r="Z5">
        <f>Tours!$Q$39*P5+Tours!$Q$43+Tours!$Q$48+Tours!$Q$49+Tours!$Q$52+Tours!$Q$56+Tours!$Q$57+Tours!$Q$60+Tours!$Q$61+Tours!$Q$66+$Q$51*1</f>
        <v>-1002.689</v>
      </c>
      <c r="AA5">
        <f>Tours!R74+Tours!R39*P5+Tours!R43+Tours!R48+Tours!R49+Tours!R52+Tours!R56+Tours!R57+Tours!R60+Tours!R61+Tours!R66+Tours!R70</f>
        <v>-5.4509999999999996</v>
      </c>
      <c r="AB5">
        <f>Tours!S74+Tours!S39*T5+Tours!S43+Tours!S48+Tours!S49+Tours!S52+Tours!S56+Tours!S57+Tours!S60+Tours!S61+Tours!S66+Tours!S70</f>
        <v>-5.6246000000000009</v>
      </c>
      <c r="AC5">
        <f>Tours!T74+Tours!T39*V5+Tours!T43+Tours!T48+Tours!T49+Tours!T52+Tours!T56+Tours!T57+Tours!T60+Tours!T61+Tours!T66+Tours!T70</f>
        <v>-3.2013599999999993</v>
      </c>
      <c r="AD5">
        <f>Tours!U74+Tours!U39*W5+Tours!U43+Tours!U48+Tours!U49+Tours!U52+Tours!U56+Tours!U57+Tours!U60+Tours!U61+Tours!U66+Tours!U70</f>
        <v>-11.1496</v>
      </c>
      <c r="AE5">
        <f>Tours!V74+Tours!V39*X5+Tours!V43+Tours!V48+Tours!V49+Tours!V52+Tours!V56+Tours!V57+Tours!V60+Tours!V61+Tours!V66+Tours!V70</f>
        <v>-8.1463999999999999</v>
      </c>
      <c r="AF5">
        <f>Tours!W74+Tours!W39*Y5+Tours!W43+Tours!W48+Tours!W49+Tours!W52+Tours!W56+Tours!W57+Tours!W60+Tours!W61+Tours!W66+Tours!W70</f>
        <v>-9.6301799999999993</v>
      </c>
      <c r="AG5">
        <f>Tours!X74+Tours!X39*R5+Tours!X43+Tours!X48+Tours!X49+Tours!X52+Tours!X56+Tours!X57+Tours!X60+Tours!X61+Tours!X66+Tours!X70</f>
        <v>-16.462799999999998</v>
      </c>
      <c r="AH5">
        <f>EXP(Z5)+EXP(AA5)+EXP(AB5)+EXP(AC5)+EXP(AD5)+EXP(AE5)+EXP(AF5)+EXP(AG5)</f>
        <v>4.8976765425613668E-2</v>
      </c>
      <c r="AJ5">
        <f t="shared" si="2"/>
        <v>4.2920105334980632E-3</v>
      </c>
      <c r="AK5">
        <f t="shared" si="3"/>
        <v>3.6080068034334534E-3</v>
      </c>
      <c r="AL5">
        <f t="shared" si="4"/>
        <v>1.1721466986093838E-2</v>
      </c>
      <c r="AM5">
        <f t="shared" si="5"/>
        <v>1.2293986483547433E-5</v>
      </c>
      <c r="AN5">
        <f t="shared" si="6"/>
        <v>4.0737541006635382E-2</v>
      </c>
      <c r="AO5" s="25">
        <f t="shared" si="7"/>
        <v>8.8244777897362334E-2</v>
      </c>
      <c r="AP5" s="25">
        <f t="shared" si="8"/>
        <v>7.41814952540822E-2</v>
      </c>
      <c r="AQ5" s="25">
        <f t="shared" si="9"/>
        <v>0.83757372684855558</v>
      </c>
      <c r="AR5" s="35">
        <f t="shared" si="10"/>
        <v>0.99895225524771813</v>
      </c>
      <c r="AS5" s="35">
        <f t="shared" si="11"/>
        <v>1.0477447522818414E-3</v>
      </c>
      <c r="AT5" s="25">
        <f t="shared" si="12"/>
        <v>0</v>
      </c>
      <c r="AU5" s="25">
        <f t="shared" si="13"/>
        <v>1</v>
      </c>
      <c r="AV5" s="35">
        <f t="shared" si="14"/>
        <v>2.9009544551449298E-7</v>
      </c>
      <c r="AW5" s="35">
        <f t="shared" si="15"/>
        <v>0.99999970990455456</v>
      </c>
      <c r="AX5" s="35">
        <f t="shared" si="16"/>
        <v>0.99999999974209886</v>
      </c>
      <c r="AY5" s="35">
        <f t="shared" si="17"/>
        <v>2.5790122717852271E-10</v>
      </c>
      <c r="AZ5" s="35">
        <f t="shared" si="18"/>
        <v>0.98404047360931823</v>
      </c>
      <c r="BA5" s="35">
        <f t="shared" si="19"/>
        <v>1.5959526390681739E-2</v>
      </c>
      <c r="BB5" s="25">
        <f t="shared" si="20"/>
        <v>0</v>
      </c>
      <c r="BC5" s="25">
        <f t="shared" si="21"/>
        <v>8.8244777897362334E-2</v>
      </c>
      <c r="BD5" s="25">
        <f t="shared" si="22"/>
        <v>7.4181473734368286E-2</v>
      </c>
      <c r="BE5" s="25">
        <f t="shared" si="23"/>
        <v>0.83669616315581585</v>
      </c>
      <c r="BF5" s="25">
        <f t="shared" si="24"/>
        <v>2.1578496730909758E-10</v>
      </c>
      <c r="BG5" s="25">
        <f t="shared" si="25"/>
        <v>8.6355797948476135E-4</v>
      </c>
      <c r="BH5" s="25">
        <f t="shared" si="26"/>
        <v>1.4005497469957257E-5</v>
      </c>
      <c r="BI5" s="25">
        <f t="shared" si="27"/>
        <v>2.1519713914664221E-8</v>
      </c>
      <c r="BK5" s="25">
        <f t="shared" si="0"/>
        <v>0</v>
      </c>
      <c r="BL5" s="25">
        <f t="shared" si="0"/>
        <v>8.763360536776986E-2</v>
      </c>
      <c r="BM5" s="25">
        <f t="shared" si="0"/>
        <v>7.3667707911693942E-2</v>
      </c>
      <c r="BN5" s="25">
        <f t="shared" si="0"/>
        <v>0.83114523196890788</v>
      </c>
      <c r="BO5" s="25">
        <f t="shared" si="0"/>
        <v>2.9362981058607299E-4</v>
      </c>
      <c r="BP5" s="25">
        <f t="shared" si="0"/>
        <v>5.9166153104851056E-3</v>
      </c>
      <c r="BQ5" s="25">
        <f t="shared" si="0"/>
        <v>1.3417631696398678E-3</v>
      </c>
      <c r="BR5" s="25">
        <f t="shared" si="0"/>
        <v>1.4464609173213271E-6</v>
      </c>
    </row>
    <row r="6" spans="1:70">
      <c r="A6" s="12">
        <v>9</v>
      </c>
      <c r="B6" s="15">
        <v>10002</v>
      </c>
      <c r="C6">
        <v>1</v>
      </c>
      <c r="D6" s="2">
        <v>0.35416666666666669</v>
      </c>
      <c r="E6">
        <v>40</v>
      </c>
      <c r="F6" t="s">
        <v>13</v>
      </c>
      <c r="G6" t="s">
        <v>14</v>
      </c>
      <c r="H6" t="s">
        <v>8</v>
      </c>
      <c r="I6">
        <v>5</v>
      </c>
      <c r="J6" t="s">
        <v>25</v>
      </c>
      <c r="K6" s="2">
        <v>0.38194444444444442</v>
      </c>
      <c r="L6" s="2">
        <f>D7-K6</f>
        <v>0.34722222222222221</v>
      </c>
      <c r="M6" t="str">
        <f t="shared" si="1"/>
        <v>2595DA</v>
      </c>
      <c r="N6">
        <v>1</v>
      </c>
      <c r="P6">
        <v>13</v>
      </c>
      <c r="R6">
        <v>95</v>
      </c>
      <c r="T6">
        <v>31</v>
      </c>
      <c r="V6">
        <v>42</v>
      </c>
      <c r="W6">
        <v>41</v>
      </c>
      <c r="X6">
        <v>39</v>
      </c>
      <c r="Y6">
        <v>38</v>
      </c>
    </row>
    <row r="7" spans="1:70">
      <c r="A7" s="12">
        <v>10</v>
      </c>
      <c r="B7" s="15">
        <v>10002</v>
      </c>
      <c r="C7">
        <v>1</v>
      </c>
      <c r="D7" s="2">
        <v>0.72916666666666663</v>
      </c>
      <c r="E7">
        <v>40</v>
      </c>
      <c r="F7" t="s">
        <v>13</v>
      </c>
      <c r="G7" t="s">
        <v>8</v>
      </c>
      <c r="H7" t="s">
        <v>15</v>
      </c>
      <c r="I7">
        <v>6</v>
      </c>
      <c r="J7" t="s">
        <v>28</v>
      </c>
      <c r="K7" s="2">
        <v>0.75694444444444453</v>
      </c>
      <c r="L7" s="2">
        <f>D8-K7</f>
        <v>3.4722222222222099E-2</v>
      </c>
      <c r="M7" t="str">
        <f t="shared" si="1"/>
        <v>2611RV</v>
      </c>
      <c r="N7">
        <v>1</v>
      </c>
      <c r="BD7" s="40"/>
      <c r="BM7" s="40">
        <f>BN3*BM4*BN5</f>
        <v>0.4417285110237531</v>
      </c>
    </row>
    <row r="8" spans="1:70">
      <c r="A8" s="12">
        <v>11</v>
      </c>
      <c r="B8" s="15">
        <v>10002</v>
      </c>
      <c r="C8">
        <v>1</v>
      </c>
      <c r="D8" s="2">
        <v>0.79166666666666663</v>
      </c>
      <c r="E8">
        <v>15</v>
      </c>
      <c r="F8" t="s">
        <v>13</v>
      </c>
      <c r="G8" t="s">
        <v>15</v>
      </c>
      <c r="H8" t="s">
        <v>14</v>
      </c>
      <c r="I8">
        <v>7</v>
      </c>
      <c r="J8" t="s">
        <v>27</v>
      </c>
      <c r="K8" s="2">
        <v>0.80208333333333337</v>
      </c>
      <c r="L8" s="2">
        <f>D9-K8</f>
        <v>3.125E-2</v>
      </c>
      <c r="M8" t="str">
        <f t="shared" si="1"/>
        <v>2498CA</v>
      </c>
      <c r="N8">
        <v>1</v>
      </c>
    </row>
    <row r="9" spans="1:70">
      <c r="A9" s="12">
        <v>12</v>
      </c>
      <c r="B9" s="15">
        <v>10002</v>
      </c>
      <c r="C9">
        <v>1</v>
      </c>
      <c r="D9" s="2">
        <v>0.83333333333333337</v>
      </c>
      <c r="E9">
        <v>5</v>
      </c>
      <c r="F9" t="s">
        <v>13</v>
      </c>
      <c r="G9" t="s">
        <v>14</v>
      </c>
      <c r="H9" t="s">
        <v>16</v>
      </c>
      <c r="I9">
        <v>8</v>
      </c>
      <c r="J9" t="s">
        <v>29</v>
      </c>
      <c r="K9" s="2">
        <v>0.83680555555555547</v>
      </c>
      <c r="L9" s="2">
        <f>D10-K9</f>
        <v>5.9027777777777901E-2</v>
      </c>
      <c r="M9" t="str">
        <f t="shared" si="1"/>
        <v>2616LK</v>
      </c>
      <c r="N9">
        <v>2</v>
      </c>
    </row>
    <row r="10" spans="1:70">
      <c r="A10" s="12">
        <v>13</v>
      </c>
      <c r="B10" s="15">
        <v>10002</v>
      </c>
      <c r="C10">
        <v>1</v>
      </c>
      <c r="D10" s="2">
        <v>0.89583333333333337</v>
      </c>
      <c r="E10">
        <v>5</v>
      </c>
      <c r="F10" t="s">
        <v>13</v>
      </c>
      <c r="G10" t="s">
        <v>16</v>
      </c>
      <c r="H10" t="s">
        <v>14</v>
      </c>
      <c r="I10">
        <v>9</v>
      </c>
      <c r="J10" t="s">
        <v>27</v>
      </c>
      <c r="K10" s="2">
        <v>0.89930555555555547</v>
      </c>
      <c r="L10" s="2">
        <v>0.10069444444444443</v>
      </c>
      <c r="M10" t="str">
        <f t="shared" si="1"/>
        <v>2498CA</v>
      </c>
      <c r="N10">
        <v>2</v>
      </c>
    </row>
    <row r="11" spans="1:70">
      <c r="A11" s="12">
        <v>14</v>
      </c>
      <c r="B11" s="15">
        <v>10003</v>
      </c>
      <c r="C11">
        <v>1</v>
      </c>
      <c r="D11" s="2">
        <v>0.3263888888888889</v>
      </c>
      <c r="E11">
        <v>65</v>
      </c>
      <c r="F11" t="s">
        <v>17</v>
      </c>
      <c r="G11" t="s">
        <v>18</v>
      </c>
      <c r="H11" t="s">
        <v>8</v>
      </c>
      <c r="I11">
        <v>10</v>
      </c>
      <c r="J11" t="s">
        <v>25</v>
      </c>
      <c r="K11" s="2">
        <v>0.37152777777777773</v>
      </c>
      <c r="L11" s="2">
        <f>D12-K11</f>
        <v>0.3576388888888889</v>
      </c>
      <c r="M11" t="str">
        <f t="shared" si="1"/>
        <v>2595DA</v>
      </c>
      <c r="N11">
        <v>1</v>
      </c>
    </row>
    <row r="12" spans="1:70">
      <c r="A12" s="12">
        <v>15</v>
      </c>
      <c r="B12" s="15">
        <v>10003</v>
      </c>
      <c r="C12">
        <v>1</v>
      </c>
      <c r="D12" s="2">
        <v>0.72916666666666663</v>
      </c>
      <c r="E12">
        <v>17</v>
      </c>
      <c r="F12" t="s">
        <v>20</v>
      </c>
      <c r="G12" t="s">
        <v>8</v>
      </c>
      <c r="H12" t="s">
        <v>19</v>
      </c>
      <c r="I12">
        <v>11</v>
      </c>
      <c r="J12" t="s">
        <v>26</v>
      </c>
      <c r="K12" s="2">
        <v>0.74097222222222225</v>
      </c>
      <c r="L12" s="2">
        <f>D13-K12</f>
        <v>0.15486111111111112</v>
      </c>
      <c r="M12" t="str">
        <f t="shared" si="1"/>
        <v>2513AH</v>
      </c>
      <c r="N12">
        <v>1</v>
      </c>
    </row>
    <row r="13" spans="1:70">
      <c r="A13" s="12">
        <v>16</v>
      </c>
      <c r="B13" s="15">
        <v>10003</v>
      </c>
      <c r="C13">
        <v>1</v>
      </c>
      <c r="D13" s="2">
        <v>0.89583333333333337</v>
      </c>
      <c r="E13">
        <v>70</v>
      </c>
      <c r="F13" t="s">
        <v>21</v>
      </c>
      <c r="G13" t="s">
        <v>19</v>
      </c>
      <c r="H13" t="s">
        <v>18</v>
      </c>
      <c r="I13">
        <v>12</v>
      </c>
      <c r="J13" t="s">
        <v>27</v>
      </c>
      <c r="K13" s="2">
        <v>0.94444444444444453</v>
      </c>
      <c r="L13" s="2">
        <v>5.5555555555555552E-2</v>
      </c>
      <c r="M13" t="str">
        <f t="shared" si="1"/>
        <v>3329BA</v>
      </c>
      <c r="N13">
        <v>1</v>
      </c>
    </row>
    <row r="14" spans="1:70">
      <c r="A14" s="7">
        <v>17</v>
      </c>
      <c r="B14" s="7">
        <v>10004</v>
      </c>
      <c r="C14" s="7">
        <v>1</v>
      </c>
      <c r="D14" s="8">
        <v>0.35416666666666669</v>
      </c>
      <c r="E14" s="7">
        <v>40</v>
      </c>
      <c r="F14" s="7"/>
      <c r="G14" t="s">
        <v>7</v>
      </c>
      <c r="H14" t="s">
        <v>8</v>
      </c>
      <c r="I14" s="7"/>
      <c r="J14" s="7" t="s">
        <v>70</v>
      </c>
      <c r="K14" s="8">
        <v>0.38194444444444442</v>
      </c>
      <c r="L14" s="8">
        <f>D15-K14</f>
        <v>3.4722222222222265E-2</v>
      </c>
      <c r="M14" s="7" t="str">
        <f t="shared" si="1"/>
        <v>2595DA</v>
      </c>
      <c r="N14">
        <v>1</v>
      </c>
    </row>
    <row r="15" spans="1:70">
      <c r="A15" s="7">
        <v>18</v>
      </c>
      <c r="B15" s="7">
        <v>10004</v>
      </c>
      <c r="C15" s="7">
        <v>1</v>
      </c>
      <c r="D15" s="8">
        <v>0.41666666666666669</v>
      </c>
      <c r="E15" s="7">
        <v>25</v>
      </c>
      <c r="F15" s="7"/>
      <c r="G15" t="s">
        <v>8</v>
      </c>
      <c r="H15" t="s">
        <v>11</v>
      </c>
      <c r="I15" s="7"/>
      <c r="J15" s="7" t="s">
        <v>71</v>
      </c>
      <c r="K15" s="8">
        <v>0.43402777777777773</v>
      </c>
      <c r="L15" s="8">
        <f>D16-K15</f>
        <v>4.5138888888888951E-2</v>
      </c>
      <c r="M15" s="7" t="str">
        <f t="shared" si="1"/>
        <v>2552HE</v>
      </c>
      <c r="N15">
        <v>1</v>
      </c>
    </row>
    <row r="16" spans="1:70">
      <c r="A16" s="7">
        <v>19</v>
      </c>
      <c r="B16" s="7">
        <v>10004</v>
      </c>
      <c r="C16" s="7">
        <v>1</v>
      </c>
      <c r="D16" s="8">
        <v>0.47916666666666669</v>
      </c>
      <c r="E16" s="7">
        <v>25</v>
      </c>
      <c r="F16" s="7"/>
      <c r="G16" t="s">
        <v>11</v>
      </c>
      <c r="H16" t="s">
        <v>8</v>
      </c>
      <c r="I16" s="7"/>
      <c r="J16" s="7" t="s">
        <v>70</v>
      </c>
      <c r="K16" s="8">
        <v>0.49652777777777773</v>
      </c>
      <c r="L16" s="8">
        <f>D17-K16</f>
        <v>0.25347222222222227</v>
      </c>
      <c r="M16" s="7" t="str">
        <f t="shared" si="1"/>
        <v>2595DA</v>
      </c>
      <c r="N16">
        <v>1</v>
      </c>
    </row>
    <row r="17" spans="1:70">
      <c r="A17" s="7">
        <v>20</v>
      </c>
      <c r="B17" s="7">
        <v>10004</v>
      </c>
      <c r="C17" s="7">
        <v>1</v>
      </c>
      <c r="D17" s="8">
        <v>0.75</v>
      </c>
      <c r="E17" s="7">
        <v>40</v>
      </c>
      <c r="F17" s="7"/>
      <c r="G17" s="7" t="s">
        <v>8</v>
      </c>
      <c r="H17" s="7" t="s">
        <v>7</v>
      </c>
      <c r="I17" s="7"/>
      <c r="J17" s="7" t="s">
        <v>72</v>
      </c>
      <c r="K17" s="8">
        <v>0.77777777777777779</v>
      </c>
      <c r="L17" s="8">
        <v>0.16666666666666666</v>
      </c>
      <c r="M17" s="7" t="str">
        <f t="shared" si="1"/>
        <v>3036XP</v>
      </c>
      <c r="N17">
        <v>1</v>
      </c>
    </row>
    <row r="18" spans="1:70">
      <c r="A18">
        <v>21</v>
      </c>
      <c r="B18" s="3">
        <v>10005</v>
      </c>
      <c r="C18">
        <v>1</v>
      </c>
      <c r="D18" s="2">
        <v>0.35416666666666669</v>
      </c>
      <c r="E18">
        <v>40</v>
      </c>
      <c r="F18" t="s">
        <v>9</v>
      </c>
      <c r="G18" t="s">
        <v>7</v>
      </c>
      <c r="H18" t="s">
        <v>8</v>
      </c>
      <c r="J18" t="s">
        <v>25</v>
      </c>
      <c r="K18" s="2">
        <v>0.38194444444444442</v>
      </c>
      <c r="L18" s="2">
        <f>D19-K18</f>
        <v>0.38888888888888895</v>
      </c>
      <c r="M18" t="str">
        <f>H18</f>
        <v>2595DA</v>
      </c>
      <c r="N18">
        <v>1</v>
      </c>
      <c r="P18">
        <v>23</v>
      </c>
      <c r="Q18">
        <v>24.6</v>
      </c>
      <c r="R18">
        <v>284</v>
      </c>
      <c r="S18">
        <v>22.8</v>
      </c>
      <c r="T18">
        <v>83</v>
      </c>
      <c r="U18">
        <v>24.7</v>
      </c>
      <c r="V18">
        <v>58</v>
      </c>
      <c r="W18">
        <v>57</v>
      </c>
      <c r="X18">
        <v>50</v>
      </c>
      <c r="Y18">
        <v>49</v>
      </c>
      <c r="Z18">
        <f>Tours!$Q$39*P18+Tours!$Q$43+Tours!$Q$48+Tours!$Q$49+Tours!$Q$52+Tours!$Q$56+Tours!$Q$57+Tours!$Q$60+Tours!$Q$61+Tours!$Q$66</f>
        <v>-3.6289999999999996</v>
      </c>
      <c r="AA18">
        <f>Tours!$R$74+Tours!$R$39*P18+Tours!$R$43+Tours!$R$48+Tours!$R$49+Tours!$R$52+Tours!$R$56+Tours!$R$57+Tours!$R$60+Tours!$R$61+Tours!$R$66+Tours!$R$70</f>
        <v>-5.4066000000000001</v>
      </c>
      <c r="AB18">
        <f>Tours!$S$74+Tours!$S$39*T18+Tours!$S$43+Tours!$S$48+Tours!$S$49+Tours!$S$52+Tours!$S$56+Tours!$S$57+Tours!$S$60+Tours!$S$61+Tours!$S$66+Tours!$S$70</f>
        <v>-5.0684000000000005</v>
      </c>
      <c r="AC18">
        <f>Tours!$T$74+Tours!$T$39*V18+Tours!$T$43+Tours!$T$48+Tours!$T$49+Tours!$T$52+Tours!$T$56+Tours!$T$57+Tours!$T$60+Tours!$T$61+Tours!$T$66+Tours!$T$70</f>
        <v>-2.9520199999999992</v>
      </c>
      <c r="AD18">
        <f>Tours!$U$74+Tours!$U$39*W18+Tours!$U$43+Tours!$U$48+Tours!$U$49+Tours!$U$52+Tours!$U$56+Tours!$U$57+Tours!$U$60+Tours!$U$61+Tours!$U$66+Tours!$U$70</f>
        <v>-11.1097</v>
      </c>
      <c r="AE18">
        <f>Tours!$V$74+Tours!$V$39*X18+Tours!$V$43+Tours!$V$48+Tours!$V$49+Tours!$V$52+Tours!$V$56+Tours!$V$57+Tours!$V$60+Tours!$V$61+Tours!$V$66+Tours!$V$70</f>
        <v>-8.1814999999999998</v>
      </c>
      <c r="AF18">
        <f>Tours!$W$74+Tours!$W$39*Y18+Tours!$W$43+Tours!$W$48+Tours!$W$49+Tours!$W$52+Tours!$W$56+Tours!$W$57+Tours!$W$60+Tours!$W$61+Tours!$W$66+Tours!$W$70</f>
        <v>-9.7583400000000005</v>
      </c>
      <c r="AG18">
        <f>Tours!$X$74+Tours!$X$39*R18+Tours!$X$43+Tours!$X$48+Tours!$X$49+Tours!$X$52+Tours!$X$56+Tours!$X$57+Tours!$X$60+Tours!$X$61+Tours!$X$66+Tours!$X$70</f>
        <v>-14.917199999999998</v>
      </c>
      <c r="AH18">
        <f>EXP(Z18)+EXP(AA18)+EXP(AB18)+EXP(AC18)+EXP(AD18)+EXP(AE18)+EXP(AF18)+EXP(AG18)</f>
        <v>8.9909041244511295E-2</v>
      </c>
      <c r="AJ18">
        <f>EXP(0.72*LN(EXP(Z18/0.72)+EXP(AA18/0.72)))</f>
        <v>2.8142468056565052E-2</v>
      </c>
      <c r="AK18">
        <f>EXP(0.72*LN(EXP(AG18/0.72)+EXP(AB18/0.72)))</f>
        <v>6.2924852526516396E-3</v>
      </c>
      <c r="AL18">
        <f>EXP(0.5*LN(EXP(AC18/0.36)+EXP(AD18/0.36)))</f>
        <v>1.6572215057254865E-2</v>
      </c>
      <c r="AM18">
        <f>EXP(0.5*LN(EXP(AE18/0.36)+EXP(AF18/0.36)))</f>
        <v>1.1687725738245536E-5</v>
      </c>
      <c r="AN18">
        <f>EXP(0.72*LN(AL18+AM18))</f>
        <v>5.2260607651292056E-2</v>
      </c>
      <c r="AO18" s="25">
        <f>AJ18/(AJ18+AK18+AN18)</f>
        <v>0.32461256083670081</v>
      </c>
      <c r="AP18" s="25">
        <f>AK18/(AJ18+AK18+AN18)</f>
        <v>7.2581400742282184E-2</v>
      </c>
      <c r="AQ18" s="25">
        <f>AN18/(AJ18+AK18+AN18)</f>
        <v>0.60280603842101699</v>
      </c>
      <c r="AR18" s="35">
        <f>AL18/(AL18+AM18)</f>
        <v>0.9992952367189325</v>
      </c>
      <c r="AS18" s="35">
        <f>AM18/(AL18+AM18)</f>
        <v>7.0476328106743166E-4</v>
      </c>
      <c r="AT18" s="35">
        <f>EXP(Z18/0.252)/(EXP(Z18/0.252)+EXP(AA18/0.252))</f>
        <v>0.99913677212735408</v>
      </c>
      <c r="AU18" s="35">
        <f>EXP(AA18/0.252)/(EXP(Z18/0.252)+EXP(AA18/0.252))</f>
        <v>8.6322787264601301E-4</v>
      </c>
      <c r="AV18" s="35">
        <f>EXP(AG18/0.72)/(EXP(AG18/0.72)+EXP(AB18/0.72))</f>
        <v>1.1463930358129657E-6</v>
      </c>
      <c r="AW18" s="35">
        <f>EXP(AB18/0.72)/(EXP(AG18/0.72)+EXP(AB18/0.72))</f>
        <v>0.99999885360696417</v>
      </c>
      <c r="AX18" s="35">
        <f>EXP(AC18/0.36)/(EXP(AC18/0.36)+EXP(AD18/0.36))</f>
        <v>0.99999999985585797</v>
      </c>
      <c r="AY18" s="35">
        <f>EXP(AD18/0.36)/(EXP(AC18/0.36)+EXP(AD18/0.36))</f>
        <v>1.4414199549746986E-10</v>
      </c>
      <c r="AZ18" s="35">
        <f>EXP(AE18/0.36)/(EXP(AE18/0.36)+EXP(AF18/0.36))</f>
        <v>0.98763094267379903</v>
      </c>
      <c r="BA18" s="35">
        <f>EXP(AF18/0.36)/(EXP(AE18/0.36)+EXP(AF18/0.36))</f>
        <v>1.2369057326201081E-2</v>
      </c>
      <c r="BB18" s="25">
        <f>AO18*AT18</f>
        <v>0.32433234622637558</v>
      </c>
      <c r="BC18" s="25">
        <f>AO18*AU18</f>
        <v>2.8021461032523971E-4</v>
      </c>
      <c r="BD18" s="25">
        <f>AP18*AW18</f>
        <v>7.2581317535469841E-2</v>
      </c>
      <c r="BE18" s="25">
        <f>AQ18*AR18*AX18</f>
        <v>0.60238120277270368</v>
      </c>
      <c r="BF18" s="25">
        <f>AQ18*AR18*AY18</f>
        <v>8.6828428630339153E-11</v>
      </c>
      <c r="BG18" s="25">
        <f>AQ18*AS18*AZ18</f>
        <v>4.1958074607064127E-4</v>
      </c>
      <c r="BH18" s="25">
        <f>AQ18*AS18*BA18</f>
        <v>5.2548154142150103E-6</v>
      </c>
      <c r="BI18" s="25">
        <f>AP18*AV18</f>
        <v>8.3206812340502313E-8</v>
      </c>
      <c r="BK18" s="25">
        <f t="shared" ref="BK18:BR19" si="28">EXP(Z18)/$AH18</f>
        <v>0.29521740515096551</v>
      </c>
      <c r="BL18" s="25">
        <f t="shared" si="28"/>
        <v>4.9904543540423854E-2</v>
      </c>
      <c r="BM18" s="25">
        <f t="shared" si="28"/>
        <v>6.9987177837899942E-2</v>
      </c>
      <c r="BN18" s="25">
        <f t="shared" si="28"/>
        <v>0.58096589320719572</v>
      </c>
      <c r="BO18" s="25">
        <f t="shared" si="28"/>
        <v>1.6646204583774932E-4</v>
      </c>
      <c r="BP18" s="25">
        <f t="shared" si="28"/>
        <v>3.1118333419579984E-3</v>
      </c>
      <c r="BQ18" s="25">
        <f t="shared" si="28"/>
        <v>6.4298881592966817E-4</v>
      </c>
      <c r="BR18" s="25">
        <f t="shared" si="28"/>
        <v>3.6960597896755192E-6</v>
      </c>
    </row>
    <row r="19" spans="1:70">
      <c r="A19">
        <v>22</v>
      </c>
      <c r="B19" s="3">
        <v>10005</v>
      </c>
      <c r="C19">
        <v>1</v>
      </c>
      <c r="D19" s="2">
        <v>0.77083333333333337</v>
      </c>
      <c r="E19">
        <v>70</v>
      </c>
      <c r="F19" t="s">
        <v>12</v>
      </c>
      <c r="G19" t="s">
        <v>8</v>
      </c>
      <c r="H19" t="s">
        <v>7</v>
      </c>
      <c r="J19" t="s">
        <v>27</v>
      </c>
      <c r="K19" s="2">
        <v>0.79861111111111116</v>
      </c>
      <c r="L19" s="2">
        <v>4.5138888888888888E-2</v>
      </c>
      <c r="M19" t="str">
        <f t="shared" ref="M19:M25" si="29">H19</f>
        <v>3036XP</v>
      </c>
      <c r="N19">
        <v>1</v>
      </c>
      <c r="P19">
        <v>23</v>
      </c>
      <c r="Q19">
        <v>24.6</v>
      </c>
      <c r="R19">
        <v>284</v>
      </c>
      <c r="S19">
        <v>22.8</v>
      </c>
      <c r="T19">
        <v>83</v>
      </c>
      <c r="U19">
        <v>24.7</v>
      </c>
      <c r="V19">
        <v>58</v>
      </c>
      <c r="W19">
        <v>57</v>
      </c>
      <c r="X19">
        <v>50</v>
      </c>
      <c r="Y19">
        <v>49</v>
      </c>
      <c r="Z19">
        <f>Tours!$Q$39*P19+Tours!$Q$43+Tours!$Q$48+Tours!$Q$49+Tours!$Q$52+Tours!$Q$56+Tours!$Q$57+Tours!$Q$60+Tours!$Q$61+Tours!$Q$66</f>
        <v>-3.6289999999999996</v>
      </c>
      <c r="AA19">
        <f>Tours!$R$74+Tours!$R$39*P19+Tours!$R$43+Tours!$R$48+Tours!$R$49+Tours!$R$52+Tours!$R$56+Tours!$R$57+Tours!$R$60+Tours!$R$61+Tours!$R$66+Tours!$R$70</f>
        <v>-5.4066000000000001</v>
      </c>
      <c r="AB19">
        <f>Tours!$S$74+Tours!$S$39*T19+Tours!$S$43+Tours!$S$48+Tours!$S$49+Tours!$S$52+Tours!$S$56+Tours!$S$57+Tours!$S$60+Tours!$S$61+Tours!$S$66+Tours!$S$70</f>
        <v>-5.0684000000000005</v>
      </c>
      <c r="AC19">
        <f>Tours!$T$74+Tours!$T$39*V19+Tours!$T$43+Tours!$T$48+Tours!$T$49+Tours!$T$52+Tours!$T$56+Tours!$T$57+Tours!$T$60+Tours!$T$61+Tours!$T$66+Tours!$T$70</f>
        <v>-2.9520199999999992</v>
      </c>
      <c r="AD19">
        <f>Tours!$U$74+Tours!$U$39*W19+Tours!$U$43+Tours!$U$48+Tours!$U$49+Tours!$U$52+Tours!$U$56+Tours!$U$57+Tours!$U$60+Tours!$U$61+Tours!$U$66+Tours!$U$70</f>
        <v>-11.1097</v>
      </c>
      <c r="AE19">
        <f>Tours!$V$74+Tours!$V$39*X19+Tours!$V$43+Tours!$V$48+Tours!$V$49+Tours!$V$52+Tours!$V$56+Tours!$V$57+Tours!$V$60+Tours!$V$61+Tours!$V$66+Tours!$V$70</f>
        <v>-8.1814999999999998</v>
      </c>
      <c r="AF19">
        <f>Tours!$W$74+Tours!$W$39*Y19+Tours!$W$43+Tours!$W$48+Tours!$W$49+Tours!$W$52+Tours!$W$56+Tours!$W$57+Tours!$W$60+Tours!$W$61+Tours!$W$66+Tours!$W$70</f>
        <v>-9.7583400000000005</v>
      </c>
      <c r="AG19">
        <f>Tours!$X$74+Tours!$X$39*R19+Tours!$X$43+Tours!$X$48+Tours!$X$49+Tours!$X$52+Tours!$X$56+Tours!$X$57+Tours!$X$60+Tours!$X$61+Tours!$X$66+Tours!$X$70</f>
        <v>-14.917199999999998</v>
      </c>
      <c r="AH19">
        <f>EXP(Z19)+EXP(AA19)+EXP(AB19)+EXP(AC19)+EXP(AD19)+EXP(AE19)+EXP(AF19)+EXP(AG19)</f>
        <v>8.9909041244511295E-2</v>
      </c>
      <c r="AJ19">
        <f>EXP(0.72*LN(EXP(Z19/0.72)+EXP(AA19/0.72)))</f>
        <v>2.8142468056565052E-2</v>
      </c>
      <c r="AK19">
        <f>EXP(0.72*LN(EXP(AG19/0.72)+EXP(AB19/0.72)))</f>
        <v>6.2924852526516396E-3</v>
      </c>
      <c r="AL19">
        <f>EXP(0.5*LN(EXP(AC19/0.36)+EXP(AD19/0.36)))</f>
        <v>1.6572215057254865E-2</v>
      </c>
      <c r="AM19">
        <f>EXP(0.5*LN(EXP(AE19/0.36)+EXP(AF19/0.36)))</f>
        <v>1.1687725738245536E-5</v>
      </c>
      <c r="AN19">
        <f>EXP(0.72*LN(AL19+AM19))</f>
        <v>5.2260607651292056E-2</v>
      </c>
      <c r="AO19" s="25">
        <f>AJ19/(AJ19+AK19+AN19)</f>
        <v>0.32461256083670081</v>
      </c>
      <c r="AP19" s="25">
        <f>AK19/(AJ19+AK19+AN19)</f>
        <v>7.2581400742282184E-2</v>
      </c>
      <c r="AQ19" s="25">
        <f>AN19/(AJ19+AK19+AN19)</f>
        <v>0.60280603842101699</v>
      </c>
      <c r="AR19" s="35">
        <f>AL19/(AL19+AM19)</f>
        <v>0.9992952367189325</v>
      </c>
      <c r="AS19" s="35">
        <f>AM19/(AL19+AM19)</f>
        <v>7.0476328106743166E-4</v>
      </c>
      <c r="AT19" s="35">
        <f>EXP(Z19/0.252)/(EXP(Z19/0.252)+EXP(AA19/0.252))</f>
        <v>0.99913677212735408</v>
      </c>
      <c r="AU19" s="35">
        <f>EXP(AA19/0.252)/(EXP(Z19/0.252)+EXP(AA19/0.252))</f>
        <v>8.6322787264601301E-4</v>
      </c>
      <c r="AV19" s="35">
        <f>EXP(AG19/0.72)/(EXP(AG19/0.72)+EXP(AB19/0.72))</f>
        <v>1.1463930358129657E-6</v>
      </c>
      <c r="AW19" s="35">
        <f>EXP(AB19/0.72)/(EXP(AG19/0.72)+EXP(AB19/0.72))</f>
        <v>0.99999885360696417</v>
      </c>
      <c r="AX19" s="35">
        <f>EXP(AC19/0.36)/(EXP(AC19/0.36)+EXP(AD19/0.36))</f>
        <v>0.99999999985585797</v>
      </c>
      <c r="AY19" s="35">
        <f>EXP(AD19/0.36)/(EXP(AC19/0.36)+EXP(AD19/0.36))</f>
        <v>1.4414199549746986E-10</v>
      </c>
      <c r="AZ19" s="35">
        <f>EXP(AE19/0.36)/(EXP(AE19/0.36)+EXP(AF19/0.36))</f>
        <v>0.98763094267379903</v>
      </c>
      <c r="BA19" s="35">
        <f>EXP(AF19/0.36)/(EXP(AE19/0.36)+EXP(AF19/0.36))</f>
        <v>1.2369057326201081E-2</v>
      </c>
      <c r="BB19" s="25">
        <f>AO19*AT19</f>
        <v>0.32433234622637558</v>
      </c>
      <c r="BC19" s="25">
        <f>AO19*AU19</f>
        <v>2.8021461032523971E-4</v>
      </c>
      <c r="BD19" s="25">
        <f>AP19*AW19</f>
        <v>7.2581317535469841E-2</v>
      </c>
      <c r="BE19" s="25">
        <f>AQ19*AR19*AX19</f>
        <v>0.60238120277270368</v>
      </c>
      <c r="BF19" s="25">
        <f>AQ19*AR19*AY19</f>
        <v>8.6828428630339153E-11</v>
      </c>
      <c r="BG19" s="25">
        <f>AQ19*AS19*AZ19</f>
        <v>4.1958074607064127E-4</v>
      </c>
      <c r="BH19" s="25">
        <f>AQ19*AS19*BA19</f>
        <v>5.2548154142150103E-6</v>
      </c>
      <c r="BI19" s="25">
        <f>AP19*AV19</f>
        <v>8.3206812340502313E-8</v>
      </c>
      <c r="BK19" s="25">
        <f t="shared" si="28"/>
        <v>0.29521740515096551</v>
      </c>
      <c r="BL19" s="25">
        <f t="shared" si="28"/>
        <v>4.9904543540423854E-2</v>
      </c>
      <c r="BM19" s="25">
        <f t="shared" si="28"/>
        <v>6.9987177837899942E-2</v>
      </c>
      <c r="BN19" s="25">
        <f t="shared" si="28"/>
        <v>0.58096589320719572</v>
      </c>
      <c r="BO19" s="25">
        <f t="shared" si="28"/>
        <v>1.6646204583774932E-4</v>
      </c>
      <c r="BP19" s="25">
        <f t="shared" si="28"/>
        <v>3.1118333419579984E-3</v>
      </c>
      <c r="BQ19" s="25">
        <f t="shared" si="28"/>
        <v>6.4298881592966817E-4</v>
      </c>
      <c r="BR19" s="25">
        <f t="shared" si="28"/>
        <v>3.6960597896755192E-6</v>
      </c>
    </row>
    <row r="20" spans="1:70">
      <c r="A20">
        <v>23</v>
      </c>
      <c r="B20" s="9">
        <v>10006</v>
      </c>
      <c r="C20" s="9">
        <v>1</v>
      </c>
      <c r="D20" s="10">
        <v>0.35416666666666669</v>
      </c>
      <c r="E20" s="9">
        <v>40</v>
      </c>
      <c r="F20" s="9"/>
      <c r="G20" t="s">
        <v>7</v>
      </c>
      <c r="H20" t="s">
        <v>8</v>
      </c>
      <c r="I20" s="9"/>
      <c r="J20" s="9" t="s">
        <v>70</v>
      </c>
      <c r="K20" s="10">
        <v>0.38194444444444442</v>
      </c>
      <c r="L20" s="10">
        <f>D21-K20</f>
        <v>3.4722222222222265E-2</v>
      </c>
      <c r="M20" s="9" t="str">
        <f t="shared" si="29"/>
        <v>2595DA</v>
      </c>
      <c r="N20">
        <v>1</v>
      </c>
    </row>
    <row r="21" spans="1:70">
      <c r="A21">
        <v>24</v>
      </c>
      <c r="B21" s="9">
        <v>10006</v>
      </c>
      <c r="C21" s="9">
        <v>1</v>
      </c>
      <c r="D21" s="10">
        <v>0.41666666666666669</v>
      </c>
      <c r="E21" s="9">
        <v>25</v>
      </c>
      <c r="F21" s="9"/>
      <c r="G21" t="s">
        <v>8</v>
      </c>
      <c r="H21" t="s">
        <v>11</v>
      </c>
      <c r="I21" s="9"/>
      <c r="J21" s="9" t="s">
        <v>71</v>
      </c>
      <c r="K21" s="10">
        <v>0.43402777777777773</v>
      </c>
      <c r="L21" s="10">
        <f>D22-K21</f>
        <v>4.5138888888888951E-2</v>
      </c>
      <c r="M21" s="9" t="str">
        <f t="shared" si="29"/>
        <v>2552HE</v>
      </c>
      <c r="N21">
        <v>1</v>
      </c>
    </row>
    <row r="22" spans="1:70">
      <c r="A22">
        <v>25</v>
      </c>
      <c r="B22" s="9">
        <v>10006</v>
      </c>
      <c r="C22" s="9">
        <v>1</v>
      </c>
      <c r="D22" s="10">
        <v>0.47916666666666669</v>
      </c>
      <c r="E22" s="9">
        <v>25</v>
      </c>
      <c r="F22" s="9"/>
      <c r="G22" t="s">
        <v>11</v>
      </c>
      <c r="H22" t="s">
        <v>8</v>
      </c>
      <c r="I22" s="9"/>
      <c r="J22" s="9" t="s">
        <v>70</v>
      </c>
      <c r="K22" s="10">
        <v>0.49652777777777773</v>
      </c>
      <c r="L22" s="10">
        <f>D23-K22</f>
        <v>2.4305555555555636E-2</v>
      </c>
      <c r="M22" s="9" t="str">
        <f t="shared" si="29"/>
        <v>2595DA</v>
      </c>
      <c r="N22">
        <v>1</v>
      </c>
    </row>
    <row r="23" spans="1:70">
      <c r="A23">
        <v>26</v>
      </c>
      <c r="B23" s="9">
        <v>10006</v>
      </c>
      <c r="C23" s="9">
        <v>1</v>
      </c>
      <c r="D23" s="10">
        <v>0.52083333333333337</v>
      </c>
      <c r="E23" s="9">
        <v>10</v>
      </c>
      <c r="F23" s="9"/>
      <c r="G23" t="s">
        <v>8</v>
      </c>
      <c r="H23" t="s">
        <v>15</v>
      </c>
      <c r="I23" s="9"/>
      <c r="J23" s="9" t="s">
        <v>73</v>
      </c>
      <c r="K23" s="10">
        <v>0.52777777777777779</v>
      </c>
      <c r="L23" s="10">
        <f>D24-K23</f>
        <v>1.388888888888884E-2</v>
      </c>
      <c r="M23" s="9" t="str">
        <f t="shared" si="29"/>
        <v>2611RV</v>
      </c>
      <c r="N23">
        <v>1</v>
      </c>
    </row>
    <row r="24" spans="1:70">
      <c r="A24">
        <v>27</v>
      </c>
      <c r="B24" s="9">
        <v>10006</v>
      </c>
      <c r="C24" s="9">
        <v>1</v>
      </c>
      <c r="D24" s="10">
        <v>0.54166666666666663</v>
      </c>
      <c r="E24" s="9">
        <v>10</v>
      </c>
      <c r="F24" s="9"/>
      <c r="G24" s="9" t="s">
        <v>15</v>
      </c>
      <c r="H24" s="9" t="s">
        <v>8</v>
      </c>
      <c r="I24" s="9"/>
      <c r="J24" s="9" t="s">
        <v>70</v>
      </c>
      <c r="K24" s="10">
        <v>0.54861111111111105</v>
      </c>
      <c r="L24" s="10">
        <f>D25-K24</f>
        <v>0.20138888888888895</v>
      </c>
      <c r="M24" s="9" t="str">
        <f t="shared" si="29"/>
        <v>2595DA</v>
      </c>
      <c r="N24">
        <v>1</v>
      </c>
    </row>
    <row r="25" spans="1:70">
      <c r="A25">
        <v>28</v>
      </c>
      <c r="B25" s="9">
        <v>10006</v>
      </c>
      <c r="C25" s="9">
        <v>1</v>
      </c>
      <c r="D25" s="10">
        <v>0.75</v>
      </c>
      <c r="E25" s="9">
        <v>40</v>
      </c>
      <c r="F25" s="9"/>
      <c r="G25" s="9" t="s">
        <v>8</v>
      </c>
      <c r="H25" s="9" t="s">
        <v>7</v>
      </c>
      <c r="I25" s="9"/>
      <c r="J25" s="9" t="s">
        <v>72</v>
      </c>
      <c r="K25" s="10">
        <v>0.77777777777777779</v>
      </c>
      <c r="L25" s="9"/>
      <c r="M25" s="9" t="str">
        <f t="shared" si="29"/>
        <v>3036XP</v>
      </c>
      <c r="N25">
        <v>1</v>
      </c>
    </row>
    <row r="26" spans="1:70">
      <c r="A26">
        <v>29</v>
      </c>
      <c r="B26" s="13">
        <v>10007</v>
      </c>
      <c r="C26" s="13">
        <v>1</v>
      </c>
      <c r="D26" s="14">
        <v>0.35416666666666669</v>
      </c>
      <c r="E26" s="13">
        <v>40</v>
      </c>
      <c r="F26" s="13"/>
      <c r="G26" s="13" t="s">
        <v>7</v>
      </c>
      <c r="H26" s="13" t="s">
        <v>8</v>
      </c>
      <c r="I26" s="13"/>
      <c r="J26" s="13" t="s">
        <v>70</v>
      </c>
      <c r="K26" s="14">
        <v>0.38194444444444442</v>
      </c>
      <c r="L26" s="14">
        <f t="shared" ref="L26:L34" si="30">D27-K26</f>
        <v>3.4722222222222265E-2</v>
      </c>
      <c r="M26" s="13" t="str">
        <f t="shared" ref="M26:M29" si="31">H26</f>
        <v>2595DA</v>
      </c>
      <c r="N26">
        <v>1</v>
      </c>
    </row>
    <row r="27" spans="1:70">
      <c r="A27">
        <v>30</v>
      </c>
      <c r="B27" s="13">
        <v>10007</v>
      </c>
      <c r="C27" s="13">
        <v>1</v>
      </c>
      <c r="D27" s="14">
        <v>0.41666666666666669</v>
      </c>
      <c r="E27" s="13">
        <v>25</v>
      </c>
      <c r="F27" s="13"/>
      <c r="G27" s="13" t="s">
        <v>8</v>
      </c>
      <c r="H27" s="13" t="s">
        <v>11</v>
      </c>
      <c r="I27" s="13"/>
      <c r="J27" s="13" t="s">
        <v>79</v>
      </c>
      <c r="K27" s="14">
        <v>0.43402777777777773</v>
      </c>
      <c r="L27" s="14">
        <f t="shared" si="30"/>
        <v>4.5138888888888951E-2</v>
      </c>
      <c r="M27" s="13" t="str">
        <f t="shared" si="31"/>
        <v>2552HE</v>
      </c>
      <c r="N27">
        <v>1</v>
      </c>
    </row>
    <row r="28" spans="1:70">
      <c r="A28">
        <v>31</v>
      </c>
      <c r="B28" s="13">
        <v>10007</v>
      </c>
      <c r="C28" s="13">
        <v>1</v>
      </c>
      <c r="D28" s="14">
        <v>0.47916666666666669</v>
      </c>
      <c r="E28" s="13">
        <v>25</v>
      </c>
      <c r="F28" s="13"/>
      <c r="G28" s="13" t="s">
        <v>11</v>
      </c>
      <c r="H28" t="s">
        <v>19</v>
      </c>
      <c r="I28" s="13"/>
      <c r="J28" s="13" t="s">
        <v>80</v>
      </c>
      <c r="K28" s="14">
        <v>0.49652777777777773</v>
      </c>
      <c r="L28" s="14">
        <f>D29-K28</f>
        <v>2.4305555555555636E-2</v>
      </c>
      <c r="M28" s="13" t="str">
        <f t="shared" si="31"/>
        <v>2513AH</v>
      </c>
      <c r="N28">
        <v>1</v>
      </c>
    </row>
    <row r="29" spans="1:70">
      <c r="A29">
        <v>32</v>
      </c>
      <c r="B29" s="13">
        <v>10007</v>
      </c>
      <c r="C29" s="13">
        <v>1</v>
      </c>
      <c r="D29" s="14">
        <v>0.52083333333333337</v>
      </c>
      <c r="E29" s="13">
        <v>10</v>
      </c>
      <c r="F29" s="13"/>
      <c r="G29" t="s">
        <v>19</v>
      </c>
      <c r="H29" s="13" t="s">
        <v>7</v>
      </c>
      <c r="I29" s="13"/>
      <c r="J29" s="13" t="s">
        <v>72</v>
      </c>
      <c r="K29" s="14">
        <v>0.52777777777777779</v>
      </c>
      <c r="L29" s="51">
        <f>D30-K29</f>
        <v>-0.1736111111111111</v>
      </c>
      <c r="M29" s="13" t="str">
        <f t="shared" si="31"/>
        <v>3036XP</v>
      </c>
      <c r="N29">
        <v>1</v>
      </c>
    </row>
    <row r="30" spans="1:70" s="15" customFormat="1">
      <c r="A30" s="15">
        <v>33</v>
      </c>
      <c r="B30" s="15">
        <v>10008</v>
      </c>
      <c r="C30" s="15">
        <v>1</v>
      </c>
      <c r="D30" s="28">
        <v>0.35416666666666669</v>
      </c>
      <c r="E30" s="15">
        <v>40</v>
      </c>
      <c r="G30" s="15" t="s">
        <v>7</v>
      </c>
      <c r="H30" s="15" t="s">
        <v>8</v>
      </c>
      <c r="J30" s="15" t="s">
        <v>70</v>
      </c>
      <c r="K30" s="28">
        <v>0.38194444444444442</v>
      </c>
      <c r="L30" s="28">
        <f t="shared" si="30"/>
        <v>3.4722222222222265E-2</v>
      </c>
      <c r="M30" s="15" t="str">
        <f t="shared" ref="M30:M33" si="32">H30</f>
        <v>2595DA</v>
      </c>
      <c r="N30" s="15">
        <v>1</v>
      </c>
    </row>
    <row r="31" spans="1:70" s="15" customFormat="1">
      <c r="A31" s="15">
        <v>34</v>
      </c>
      <c r="B31" s="15">
        <v>10008</v>
      </c>
      <c r="C31" s="15">
        <v>1</v>
      </c>
      <c r="D31" s="28">
        <v>0.41666666666666669</v>
      </c>
      <c r="E31" s="15">
        <v>25</v>
      </c>
      <c r="G31" s="15" t="s">
        <v>8</v>
      </c>
      <c r="H31" s="15" t="s">
        <v>11</v>
      </c>
      <c r="J31" s="15" t="s">
        <v>71</v>
      </c>
      <c r="K31" s="28">
        <v>0.43402777777777773</v>
      </c>
      <c r="L31" s="28">
        <f t="shared" si="30"/>
        <v>4.5138888888888951E-2</v>
      </c>
      <c r="M31" s="15" t="str">
        <f t="shared" si="32"/>
        <v>2552HE</v>
      </c>
      <c r="N31" s="15">
        <v>1</v>
      </c>
    </row>
    <row r="32" spans="1:70" s="15" customFormat="1">
      <c r="A32" s="15">
        <v>35</v>
      </c>
      <c r="B32" s="15">
        <v>10008</v>
      </c>
      <c r="C32" s="15">
        <v>1</v>
      </c>
      <c r="D32" s="28">
        <v>0.47916666666666669</v>
      </c>
      <c r="E32" s="15">
        <v>25</v>
      </c>
      <c r="G32" s="15" t="s">
        <v>11</v>
      </c>
      <c r="H32" s="15" t="s">
        <v>8</v>
      </c>
      <c r="J32" s="15" t="s">
        <v>70</v>
      </c>
      <c r="K32" s="28">
        <v>0.49652777777777773</v>
      </c>
      <c r="L32" s="28">
        <f t="shared" si="30"/>
        <v>2.4305555555555636E-2</v>
      </c>
      <c r="M32" s="15" t="str">
        <f t="shared" si="32"/>
        <v>2595DA</v>
      </c>
      <c r="N32" s="15">
        <v>1</v>
      </c>
    </row>
    <row r="33" spans="1:38" s="15" customFormat="1">
      <c r="A33" s="15">
        <v>36</v>
      </c>
      <c r="B33" s="15">
        <v>10008</v>
      </c>
      <c r="C33" s="15">
        <v>1</v>
      </c>
      <c r="D33" s="28">
        <v>0.52083333333333337</v>
      </c>
      <c r="E33" s="15">
        <v>10</v>
      </c>
      <c r="G33" s="15" t="s">
        <v>8</v>
      </c>
      <c r="H33" s="15" t="s">
        <v>15</v>
      </c>
      <c r="J33" s="15" t="s">
        <v>79</v>
      </c>
      <c r="K33" s="28">
        <v>0.52777777777777779</v>
      </c>
      <c r="L33" s="28">
        <f t="shared" si="30"/>
        <v>-6.9444444444444198E-3</v>
      </c>
      <c r="M33" s="15" t="str">
        <f t="shared" si="32"/>
        <v>2611RV</v>
      </c>
      <c r="N33" s="15">
        <v>1</v>
      </c>
    </row>
    <row r="34" spans="1:38" s="15" customFormat="1">
      <c r="A34" s="15">
        <v>37</v>
      </c>
      <c r="B34" s="15">
        <v>10008</v>
      </c>
      <c r="C34" s="15">
        <v>1</v>
      </c>
      <c r="D34" s="28">
        <v>0.52083333333333337</v>
      </c>
      <c r="E34" s="15">
        <v>10</v>
      </c>
      <c r="G34" s="15" t="s">
        <v>15</v>
      </c>
      <c r="H34" s="15" t="s">
        <v>7</v>
      </c>
      <c r="J34" s="15" t="s">
        <v>72</v>
      </c>
      <c r="K34" s="28">
        <v>0.52777777777777779</v>
      </c>
      <c r="L34" s="28">
        <f t="shared" si="30"/>
        <v>-0.1736111111111111</v>
      </c>
      <c r="M34" s="15" t="str">
        <f t="shared" ref="M34" si="33">H34</f>
        <v>3036XP</v>
      </c>
      <c r="N34" s="15">
        <v>1</v>
      </c>
    </row>
    <row r="35" spans="1:38">
      <c r="A35" s="15">
        <v>38</v>
      </c>
      <c r="B35" s="15">
        <v>10009</v>
      </c>
      <c r="C35">
        <v>1</v>
      </c>
      <c r="D35" s="2">
        <v>0.35416666666666669</v>
      </c>
      <c r="E35">
        <v>40</v>
      </c>
      <c r="F35" t="s">
        <v>9</v>
      </c>
      <c r="G35">
        <v>45</v>
      </c>
      <c r="H35">
        <v>93</v>
      </c>
      <c r="I35">
        <v>2</v>
      </c>
      <c r="J35" t="s">
        <v>79</v>
      </c>
      <c r="K35" s="2">
        <v>0.38194444444444442</v>
      </c>
      <c r="L35" s="2">
        <f>D36-K35</f>
        <v>0.38888888888888895</v>
      </c>
      <c r="M35">
        <f>H35</f>
        <v>93</v>
      </c>
      <c r="N35">
        <v>1</v>
      </c>
    </row>
    <row r="36" spans="1:38">
      <c r="A36" s="15">
        <v>39</v>
      </c>
      <c r="B36" s="15">
        <v>10009</v>
      </c>
      <c r="C36">
        <v>1</v>
      </c>
      <c r="D36" s="2">
        <v>0.77083333333333337</v>
      </c>
      <c r="E36">
        <v>25</v>
      </c>
      <c r="F36" t="s">
        <v>10</v>
      </c>
      <c r="G36">
        <v>93</v>
      </c>
      <c r="H36">
        <v>93</v>
      </c>
      <c r="I36">
        <v>3</v>
      </c>
      <c r="J36" t="s">
        <v>70</v>
      </c>
      <c r="K36" s="2">
        <v>0.78819444444444453</v>
      </c>
      <c r="L36" s="2">
        <f>D37-K36</f>
        <v>-1.736111111111116E-2</v>
      </c>
      <c r="M36">
        <f t="shared" ref="M36:M37" si="34">H36</f>
        <v>93</v>
      </c>
      <c r="N36">
        <v>1</v>
      </c>
    </row>
    <row r="37" spans="1:38" ht="15.6" customHeight="1">
      <c r="A37" s="15">
        <v>40</v>
      </c>
      <c r="B37" s="15">
        <v>10009</v>
      </c>
      <c r="C37">
        <v>1</v>
      </c>
      <c r="D37" s="2">
        <v>0.77083333333333337</v>
      </c>
      <c r="E37">
        <v>25</v>
      </c>
      <c r="G37">
        <v>93</v>
      </c>
      <c r="H37">
        <v>45</v>
      </c>
      <c r="J37" t="s">
        <v>70</v>
      </c>
      <c r="K37" s="2">
        <v>0.78819444444444453</v>
      </c>
      <c r="L37" s="2">
        <f>D38-K37</f>
        <v>-0.78819444444444453</v>
      </c>
      <c r="M37">
        <f t="shared" si="34"/>
        <v>45</v>
      </c>
      <c r="N37">
        <v>1</v>
      </c>
      <c r="P37" t="s">
        <v>190</v>
      </c>
      <c r="Z37" s="23" t="s">
        <v>1</v>
      </c>
      <c r="AA37" s="18" t="s">
        <v>211</v>
      </c>
      <c r="AB37" t="s">
        <v>176</v>
      </c>
      <c r="AH37" s="33" t="s">
        <v>178</v>
      </c>
      <c r="AI37" s="33" t="s">
        <v>214</v>
      </c>
      <c r="AJ37" s="34" t="s">
        <v>188</v>
      </c>
      <c r="AK37" s="33" t="s">
        <v>189</v>
      </c>
    </row>
    <row r="38" spans="1:38">
      <c r="P38" s="29" t="s">
        <v>177</v>
      </c>
      <c r="Q38" s="29" t="s">
        <v>59</v>
      </c>
      <c r="R38" s="29" t="s">
        <v>143</v>
      </c>
      <c r="S38" s="29" t="s">
        <v>144</v>
      </c>
      <c r="T38" s="29" t="s">
        <v>145</v>
      </c>
      <c r="U38" s="29" t="s">
        <v>146</v>
      </c>
      <c r="V38" s="29" t="s">
        <v>147</v>
      </c>
      <c r="W38" s="29" t="s">
        <v>148</v>
      </c>
      <c r="X38" s="29" t="s">
        <v>149</v>
      </c>
      <c r="Z38" s="23">
        <v>10001</v>
      </c>
      <c r="AA38">
        <v>1</v>
      </c>
      <c r="AB38" t="s">
        <v>59</v>
      </c>
      <c r="AC38" t="s">
        <v>59</v>
      </c>
      <c r="AD38" t="s">
        <v>59</v>
      </c>
      <c r="AE38">
        <f>HLOOKUP(AB38,$Z$2:$AG$5,2,FALSE)</f>
        <v>-1002.629</v>
      </c>
      <c r="AF38">
        <f>HLOOKUP(AC38,$Z$2:$AG$5,3,FALSE)</f>
        <v>-1002.449</v>
      </c>
      <c r="AG38">
        <f>HLOOKUP(AD38,$Z$2:$AG$5,4,FALSE)</f>
        <v>-1002.689</v>
      </c>
      <c r="AH38">
        <f>SUM(AE38:AG38)</f>
        <v>-3007.7669999999998</v>
      </c>
      <c r="AI38">
        <f>EXP(AH38)</f>
        <v>0</v>
      </c>
      <c r="AJ38">
        <f>SUM(AI38:AI76)</f>
        <v>1.9685297242192829E-4</v>
      </c>
      <c r="AK38" s="25">
        <f>AI38/$AJ$38</f>
        <v>0</v>
      </c>
      <c r="AL38">
        <v>1</v>
      </c>
    </row>
    <row r="39" spans="1:38">
      <c r="P39" s="30" t="s">
        <v>156</v>
      </c>
      <c r="Q39" s="30">
        <v>-0.03</v>
      </c>
      <c r="R39" s="30">
        <v>-2.2200000000000001E-2</v>
      </c>
      <c r="S39" s="30">
        <v>-6.1800000000000001E-2</v>
      </c>
      <c r="T39" s="30">
        <v>-9.5899999999999996E-3</v>
      </c>
      <c r="U39" s="30">
        <v>-2.0999999999999999E-3</v>
      </c>
      <c r="V39" s="30">
        <v>1.17E-3</v>
      </c>
      <c r="W39" s="30">
        <v>5.3400000000000001E-3</v>
      </c>
      <c r="X39" s="30">
        <v>-4.8300000000000003E-2</v>
      </c>
      <c r="Z39" s="24">
        <v>10001</v>
      </c>
      <c r="AA39">
        <v>1</v>
      </c>
      <c r="AB39" t="s">
        <v>144</v>
      </c>
      <c r="AC39" t="s">
        <v>144</v>
      </c>
      <c r="AD39" t="s">
        <v>144</v>
      </c>
      <c r="AE39">
        <f t="shared" ref="AE39:AE40" si="35">HLOOKUP(AB39,$Z$2:$AG$5,2,FALSE)</f>
        <v>-5.0684000000000005</v>
      </c>
      <c r="AF39">
        <f t="shared" ref="AF39:AF40" si="36">HLOOKUP(AC39,$Z$2:$AG$5,3,FALSE)</f>
        <v>-1.9784000000000006</v>
      </c>
      <c r="AG39">
        <f t="shared" ref="AG39:AG40" si="37">HLOOKUP(AD39,$Z$2:$AG$5,4,FALSE)</f>
        <v>-5.6246000000000009</v>
      </c>
      <c r="AH39">
        <f t="shared" ref="AH39:AH72" si="38">SUM(AE39:AG39)</f>
        <v>-12.671400000000002</v>
      </c>
      <c r="AI39">
        <f t="shared" ref="AI39:AI72" si="39">EXP(AH39)</f>
        <v>3.1396475800370287E-6</v>
      </c>
      <c r="AK39" s="25">
        <f t="shared" ref="AK39:AK46" si="40">AI39/$AJ$38</f>
        <v>1.5949200773598734E-2</v>
      </c>
      <c r="AL39">
        <v>13</v>
      </c>
    </row>
    <row r="40" spans="1:38">
      <c r="P40" s="30" t="s">
        <v>159</v>
      </c>
      <c r="Q40" s="30">
        <v>-1.14E-2</v>
      </c>
      <c r="R40" s="30">
        <v>0.154</v>
      </c>
      <c r="S40" s="30">
        <v>0.48099999999999998</v>
      </c>
      <c r="T40" s="30">
        <v>-0.96499999999999997</v>
      </c>
      <c r="U40" s="30"/>
      <c r="V40" s="30"/>
      <c r="W40" s="30"/>
      <c r="X40" s="30">
        <v>1.35</v>
      </c>
      <c r="Z40" s="24">
        <v>10001</v>
      </c>
      <c r="AA40">
        <v>1</v>
      </c>
      <c r="AB40" t="s">
        <v>144</v>
      </c>
      <c r="AC40" t="s">
        <v>144</v>
      </c>
      <c r="AD40" t="s">
        <v>233</v>
      </c>
      <c r="AE40">
        <f t="shared" si="35"/>
        <v>-5.0684000000000005</v>
      </c>
      <c r="AF40">
        <f t="shared" si="36"/>
        <v>-1.9784000000000006</v>
      </c>
      <c r="AG40">
        <f t="shared" si="37"/>
        <v>-9.6301799999999993</v>
      </c>
      <c r="AH40">
        <f>SUM(AE40:AG40)</f>
        <v>-16.67698</v>
      </c>
      <c r="AI40">
        <f t="shared" si="39"/>
        <v>5.7184668940594399E-8</v>
      </c>
      <c r="AK40" s="25">
        <f t="shared" si="40"/>
        <v>2.9049431277078526E-4</v>
      </c>
    </row>
    <row r="41" spans="1:38">
      <c r="P41" s="30" t="s">
        <v>166</v>
      </c>
      <c r="Q41" s="30">
        <v>5.73</v>
      </c>
      <c r="R41" s="30">
        <v>4.32</v>
      </c>
      <c r="S41" s="30">
        <v>5.03</v>
      </c>
      <c r="T41" s="30">
        <v>4.04</v>
      </c>
      <c r="U41" s="30"/>
      <c r="V41" s="30"/>
      <c r="W41" s="30"/>
      <c r="X41" s="30">
        <v>5.16</v>
      </c>
      <c r="Z41" s="24">
        <v>10001</v>
      </c>
      <c r="AA41">
        <v>1</v>
      </c>
      <c r="AB41" t="s">
        <v>144</v>
      </c>
      <c r="AC41" t="s">
        <v>233</v>
      </c>
      <c r="AD41" t="s">
        <v>144</v>
      </c>
      <c r="AE41">
        <f t="shared" ref="AE41:AE72" si="41">HLOOKUP(AB41,$Z$2:$AG$5,2,FALSE)</f>
        <v>-5.0684000000000005</v>
      </c>
      <c r="AF41">
        <f t="shared" ref="AF41:AF72" si="42">HLOOKUP(AC41,$Z$2:$AG$5,3,FALSE)</f>
        <v>-9.8811599999999995</v>
      </c>
      <c r="AG41">
        <f t="shared" ref="AG41:AG72" si="43">HLOOKUP(AD41,$Z$2:$AG$5,4,FALSE)</f>
        <v>-5.6246000000000009</v>
      </c>
      <c r="AH41">
        <f t="shared" si="38"/>
        <v>-20.574159999999999</v>
      </c>
      <c r="AI41">
        <f t="shared" si="39"/>
        <v>1.1607958377948912E-9</v>
      </c>
      <c r="AK41" s="25">
        <f t="shared" si="40"/>
        <v>5.8967656089382234E-6</v>
      </c>
      <c r="AL41">
        <v>10</v>
      </c>
    </row>
    <row r="42" spans="1:38">
      <c r="P42" s="30" t="s">
        <v>150</v>
      </c>
      <c r="Q42" s="30">
        <v>-4.17</v>
      </c>
      <c r="R42" s="30">
        <v>-4.03</v>
      </c>
      <c r="S42" s="30">
        <v>-2.82</v>
      </c>
      <c r="T42" s="30">
        <v>-2.5</v>
      </c>
      <c r="U42" s="30"/>
      <c r="V42" s="30"/>
      <c r="W42" s="30"/>
      <c r="X42" s="30">
        <v>-3.46</v>
      </c>
      <c r="Z42" s="24">
        <v>10001</v>
      </c>
      <c r="AA42">
        <v>1</v>
      </c>
      <c r="AB42" t="s">
        <v>144</v>
      </c>
      <c r="AC42" t="s">
        <v>233</v>
      </c>
      <c r="AD42" t="s">
        <v>233</v>
      </c>
      <c r="AE42">
        <f t="shared" si="41"/>
        <v>-5.0684000000000005</v>
      </c>
      <c r="AF42">
        <f t="shared" si="42"/>
        <v>-9.8811599999999995</v>
      </c>
      <c r="AG42">
        <f t="shared" si="43"/>
        <v>-9.6301799999999993</v>
      </c>
      <c r="AH42">
        <f t="shared" si="38"/>
        <v>-24.579740000000001</v>
      </c>
      <c r="AI42">
        <f t="shared" si="39"/>
        <v>2.1142412961883341E-11</v>
      </c>
      <c r="AK42" s="25">
        <f t="shared" si="40"/>
        <v>1.0740205088987621E-7</v>
      </c>
    </row>
    <row r="43" spans="1:38">
      <c r="P43" s="30" t="s">
        <v>70</v>
      </c>
      <c r="Q43" s="30">
        <v>-2.0699999999999998</v>
      </c>
      <c r="R43" s="30">
        <v>-3.78</v>
      </c>
      <c r="S43" s="30">
        <v>-1.73</v>
      </c>
      <c r="T43" s="30">
        <v>-1.61</v>
      </c>
      <c r="U43" s="30"/>
      <c r="V43" s="30"/>
      <c r="W43" s="30"/>
      <c r="X43" s="30">
        <v>-2.8</v>
      </c>
      <c r="Z43" s="24">
        <v>10001</v>
      </c>
      <c r="AA43">
        <v>1</v>
      </c>
      <c r="AB43" t="s">
        <v>149</v>
      </c>
      <c r="AC43" t="s">
        <v>149</v>
      </c>
      <c r="AD43" t="s">
        <v>149</v>
      </c>
      <c r="AE43">
        <f t="shared" si="41"/>
        <v>-14.917199999999998</v>
      </c>
      <c r="AF43">
        <f t="shared" si="42"/>
        <v>-5.7885</v>
      </c>
      <c r="AG43">
        <f>HLOOKUP(AD43,$Z$2:$AG$5,4,FALSE)</f>
        <v>-16.462799999999998</v>
      </c>
      <c r="AH43">
        <f>SUM(AE43:AG43)</f>
        <v>-37.168499999999995</v>
      </c>
      <c r="AI43">
        <f t="shared" si="39"/>
        <v>7.209838711233929E-17</v>
      </c>
      <c r="AK43" s="25">
        <f t="shared" si="40"/>
        <v>3.6625500862545238E-13</v>
      </c>
    </row>
    <row r="44" spans="1:38">
      <c r="P44" s="30" t="s">
        <v>151</v>
      </c>
      <c r="Q44" s="30">
        <v>5.93</v>
      </c>
      <c r="R44" s="30">
        <v>5.39</v>
      </c>
      <c r="S44" s="30">
        <v>5.55</v>
      </c>
      <c r="T44" s="30">
        <v>5.54</v>
      </c>
      <c r="U44" s="30"/>
      <c r="V44" s="30"/>
      <c r="W44" s="30"/>
      <c r="X44" s="30">
        <v>5.8</v>
      </c>
      <c r="Z44" s="24">
        <v>10001</v>
      </c>
      <c r="AA44">
        <v>1</v>
      </c>
      <c r="AB44" t="s">
        <v>149</v>
      </c>
      <c r="AC44" t="s">
        <v>149</v>
      </c>
      <c r="AD44" t="s">
        <v>234</v>
      </c>
      <c r="AE44">
        <f t="shared" si="41"/>
        <v>-14.917199999999998</v>
      </c>
      <c r="AF44">
        <f t="shared" si="42"/>
        <v>-5.7885</v>
      </c>
      <c r="AG44">
        <f t="shared" si="43"/>
        <v>-5.4509999999999996</v>
      </c>
      <c r="AH44">
        <f t="shared" si="38"/>
        <v>-26.156699999999997</v>
      </c>
      <c r="AI44">
        <f t="shared" si="39"/>
        <v>4.3680693534091946E-12</v>
      </c>
      <c r="AK44" s="25">
        <f t="shared" si="40"/>
        <v>2.218950163499089E-8</v>
      </c>
      <c r="AL44">
        <v>12</v>
      </c>
    </row>
    <row r="45" spans="1:38">
      <c r="P45" s="30" t="s">
        <v>152</v>
      </c>
      <c r="Q45" s="30">
        <v>-2.0299999999999998</v>
      </c>
      <c r="R45" s="30">
        <v>-2.99</v>
      </c>
      <c r="S45" s="30">
        <v>-1.83</v>
      </c>
      <c r="T45" s="30">
        <v>-1.24</v>
      </c>
      <c r="U45" s="30"/>
      <c r="V45" s="30"/>
      <c r="W45" s="30"/>
      <c r="X45" s="30">
        <v>-1.57</v>
      </c>
      <c r="Z45" s="24">
        <v>10001</v>
      </c>
      <c r="AA45">
        <v>1</v>
      </c>
      <c r="AB45" t="s">
        <v>149</v>
      </c>
      <c r="AC45" t="s">
        <v>149</v>
      </c>
      <c r="AD45" t="s">
        <v>172</v>
      </c>
      <c r="AE45">
        <f t="shared" si="41"/>
        <v>-14.917199999999998</v>
      </c>
      <c r="AF45">
        <f t="shared" si="42"/>
        <v>-5.7885</v>
      </c>
      <c r="AG45">
        <f t="shared" si="43"/>
        <v>-3.2013599999999993</v>
      </c>
      <c r="AH45">
        <f t="shared" si="38"/>
        <v>-23.907059999999994</v>
      </c>
      <c r="AI45">
        <f t="shared" si="39"/>
        <v>4.1428171313499413E-11</v>
      </c>
      <c r="AK45" s="25">
        <f t="shared" si="40"/>
        <v>2.104523533670785E-7</v>
      </c>
      <c r="AL45">
        <v>8</v>
      </c>
    </row>
    <row r="46" spans="1:38" ht="28.8">
      <c r="P46" s="31" t="s">
        <v>164</v>
      </c>
      <c r="Q46" s="30">
        <v>-2.38</v>
      </c>
      <c r="R46" s="30">
        <v>-2</v>
      </c>
      <c r="S46" s="30"/>
      <c r="T46" s="30"/>
      <c r="U46" s="30"/>
      <c r="V46" s="30"/>
      <c r="W46" s="30"/>
      <c r="X46" s="30"/>
      <c r="Z46" s="24">
        <v>10001</v>
      </c>
      <c r="AA46">
        <v>1</v>
      </c>
      <c r="AB46" t="s">
        <v>149</v>
      </c>
      <c r="AC46" t="s">
        <v>234</v>
      </c>
      <c r="AD46" t="s">
        <v>149</v>
      </c>
      <c r="AE46">
        <f t="shared" si="41"/>
        <v>-14.917199999999998</v>
      </c>
      <c r="AF46">
        <f t="shared" si="42"/>
        <v>-5.2733999999999996</v>
      </c>
      <c r="AG46">
        <f t="shared" si="43"/>
        <v>-16.462799999999998</v>
      </c>
      <c r="AH46">
        <f t="shared" si="38"/>
        <v>-36.653399999999991</v>
      </c>
      <c r="AI46">
        <f t="shared" si="39"/>
        <v>1.2067870385572647E-16</v>
      </c>
      <c r="AK46" s="25">
        <f t="shared" si="40"/>
        <v>6.1303978482513151E-13</v>
      </c>
    </row>
    <row r="47" spans="1:38">
      <c r="P47" s="31" t="s">
        <v>237</v>
      </c>
      <c r="Q47" s="30"/>
      <c r="R47" s="30"/>
      <c r="S47" s="30"/>
      <c r="T47" s="30"/>
      <c r="U47" s="30"/>
      <c r="V47" s="30"/>
      <c r="W47" s="30"/>
      <c r="X47" s="30"/>
      <c r="Z47" s="24">
        <v>10001</v>
      </c>
      <c r="AA47">
        <v>1</v>
      </c>
      <c r="AB47" t="s">
        <v>149</v>
      </c>
      <c r="AC47" t="s">
        <v>234</v>
      </c>
      <c r="AD47" t="s">
        <v>234</v>
      </c>
      <c r="AE47">
        <f t="shared" si="41"/>
        <v>-14.917199999999998</v>
      </c>
      <c r="AF47">
        <f t="shared" si="42"/>
        <v>-5.2733999999999996</v>
      </c>
      <c r="AG47">
        <f t="shared" si="43"/>
        <v>-5.4509999999999996</v>
      </c>
      <c r="AH47">
        <f t="shared" si="38"/>
        <v>-25.641599999999997</v>
      </c>
      <c r="AI47">
        <f t="shared" si="39"/>
        <v>7.3113001418463719E-12</v>
      </c>
      <c r="AK47" s="25"/>
    </row>
    <row r="48" spans="1:38">
      <c r="P48" s="30" t="s">
        <v>165</v>
      </c>
      <c r="Q48" s="30"/>
      <c r="R48" s="30"/>
      <c r="S48" s="30"/>
      <c r="T48" s="30"/>
      <c r="U48" s="30"/>
      <c r="V48" s="30"/>
      <c r="W48" s="30"/>
      <c r="X48" s="30"/>
      <c r="Z48" s="24">
        <v>10001</v>
      </c>
      <c r="AA48">
        <v>1</v>
      </c>
      <c r="AB48" t="s">
        <v>149</v>
      </c>
      <c r="AC48" t="s">
        <v>234</v>
      </c>
      <c r="AD48" t="s">
        <v>172</v>
      </c>
      <c r="AE48">
        <f t="shared" si="41"/>
        <v>-14.917199999999998</v>
      </c>
      <c r="AF48">
        <f t="shared" si="42"/>
        <v>-5.2733999999999996</v>
      </c>
      <c r="AG48">
        <f t="shared" si="43"/>
        <v>-3.2013599999999993</v>
      </c>
      <c r="AH48">
        <f t="shared" si="38"/>
        <v>-23.391959999999997</v>
      </c>
      <c r="AI48">
        <f t="shared" si="39"/>
        <v>6.9342716494283734E-11</v>
      </c>
      <c r="AK48" s="25">
        <f>AI47/$AJ$38</f>
        <v>3.7140918178139408E-8</v>
      </c>
      <c r="AL48">
        <v>4</v>
      </c>
    </row>
    <row r="49" spans="16:38">
      <c r="P49" s="30" t="s">
        <v>154</v>
      </c>
      <c r="Q49" s="30"/>
      <c r="R49" s="30"/>
      <c r="S49" s="30"/>
      <c r="T49" s="30"/>
      <c r="U49" s="30"/>
      <c r="V49" s="30"/>
      <c r="W49" s="30"/>
      <c r="X49" s="30"/>
      <c r="Z49" s="24">
        <v>10001</v>
      </c>
      <c r="AA49">
        <v>1</v>
      </c>
      <c r="AB49" t="s">
        <v>149</v>
      </c>
      <c r="AC49" t="s">
        <v>172</v>
      </c>
      <c r="AD49" t="s">
        <v>149</v>
      </c>
      <c r="AE49">
        <f t="shared" si="41"/>
        <v>-14.917199999999998</v>
      </c>
      <c r="AF49">
        <f t="shared" si="42"/>
        <v>-2.6930899999999989</v>
      </c>
      <c r="AG49">
        <f t="shared" si="43"/>
        <v>-16.462799999999998</v>
      </c>
      <c r="AH49">
        <f t="shared" si="38"/>
        <v>-34.073089999999993</v>
      </c>
      <c r="AI49">
        <f t="shared" si="39"/>
        <v>1.5931073144390925E-15</v>
      </c>
      <c r="AK49" s="25">
        <f>AI48/$AJ$38</f>
        <v>3.5225638526634387E-7</v>
      </c>
      <c r="AL49">
        <v>7</v>
      </c>
    </row>
    <row r="50" spans="16:38">
      <c r="P50" s="30" t="s">
        <v>238</v>
      </c>
      <c r="Q50" s="30"/>
      <c r="R50" s="30"/>
      <c r="S50" s="30"/>
      <c r="T50" s="30"/>
      <c r="U50" s="30"/>
      <c r="V50" s="30"/>
      <c r="W50" s="30"/>
      <c r="X50" s="30"/>
      <c r="Z50" s="24">
        <v>10001</v>
      </c>
      <c r="AA50">
        <v>1</v>
      </c>
      <c r="AB50" t="s">
        <v>149</v>
      </c>
      <c r="AC50" t="s">
        <v>172</v>
      </c>
      <c r="AD50" t="s">
        <v>234</v>
      </c>
      <c r="AE50">
        <f t="shared" si="41"/>
        <v>-14.917199999999998</v>
      </c>
      <c r="AF50">
        <f t="shared" si="42"/>
        <v>-2.6930899999999989</v>
      </c>
      <c r="AG50">
        <f t="shared" si="43"/>
        <v>-5.4509999999999996</v>
      </c>
      <c r="AH50">
        <f t="shared" si="38"/>
        <v>-23.061289999999996</v>
      </c>
      <c r="AI50">
        <f t="shared" si="39"/>
        <v>9.6518154089225944E-11</v>
      </c>
      <c r="AK50" s="25"/>
    </row>
    <row r="51" spans="16:38">
      <c r="P51" s="32" t="s">
        <v>192</v>
      </c>
      <c r="Q51">
        <v>-999</v>
      </c>
      <c r="Z51" s="24">
        <v>10001</v>
      </c>
      <c r="AA51">
        <v>1</v>
      </c>
      <c r="AB51" t="s">
        <v>149</v>
      </c>
      <c r="AC51" t="s">
        <v>172</v>
      </c>
      <c r="AD51" t="s">
        <v>172</v>
      </c>
      <c r="AE51">
        <f t="shared" si="41"/>
        <v>-14.917199999999998</v>
      </c>
      <c r="AF51">
        <f t="shared" si="42"/>
        <v>-2.6930899999999989</v>
      </c>
      <c r="AG51">
        <f t="shared" si="43"/>
        <v>-3.2013599999999993</v>
      </c>
      <c r="AH51">
        <f t="shared" si="38"/>
        <v>-20.811649999999993</v>
      </c>
      <c r="AI51">
        <f t="shared" si="39"/>
        <v>9.154091427944886E-10</v>
      </c>
      <c r="AK51" s="25">
        <f>AI49/$AJ$38</f>
        <v>8.0928791414156449E-12</v>
      </c>
    </row>
    <row r="52" spans="16:38">
      <c r="P52" s="30" t="s">
        <v>155</v>
      </c>
      <c r="Q52" s="30"/>
      <c r="R52" s="30"/>
      <c r="S52" s="30"/>
      <c r="T52" s="30"/>
      <c r="U52" s="30"/>
      <c r="V52" s="30"/>
      <c r="W52" s="30"/>
      <c r="X52" s="30"/>
      <c r="Z52" s="24">
        <v>10001</v>
      </c>
      <c r="AA52">
        <v>1</v>
      </c>
      <c r="AB52" t="s">
        <v>234</v>
      </c>
      <c r="AC52" t="s">
        <v>149</v>
      </c>
      <c r="AD52" t="s">
        <v>149</v>
      </c>
      <c r="AE52">
        <f t="shared" si="41"/>
        <v>-5.4066000000000001</v>
      </c>
      <c r="AF52">
        <f t="shared" si="42"/>
        <v>-5.7885</v>
      </c>
      <c r="AG52">
        <f t="shared" si="43"/>
        <v>-16.462799999999998</v>
      </c>
      <c r="AH52">
        <f t="shared" si="38"/>
        <v>-27.657899999999998</v>
      </c>
      <c r="AI52">
        <f t="shared" si="39"/>
        <v>9.7347913821435822E-13</v>
      </c>
      <c r="AK52" s="25"/>
    </row>
    <row r="53" spans="16:38">
      <c r="P53" s="30" t="s">
        <v>239</v>
      </c>
      <c r="Q53" s="30"/>
      <c r="R53" s="30"/>
      <c r="S53" s="30"/>
      <c r="T53" s="30"/>
      <c r="U53" s="30"/>
      <c r="V53" s="30"/>
      <c r="W53" s="30"/>
      <c r="X53" s="30"/>
      <c r="Z53" s="24">
        <v>10001</v>
      </c>
      <c r="AA53">
        <v>1</v>
      </c>
      <c r="AB53" t="s">
        <v>234</v>
      </c>
      <c r="AC53" t="s">
        <v>149</v>
      </c>
      <c r="AD53" t="s">
        <v>234</v>
      </c>
      <c r="AE53">
        <f t="shared" si="41"/>
        <v>-5.4066000000000001</v>
      </c>
      <c r="AF53">
        <f t="shared" si="42"/>
        <v>-5.7885</v>
      </c>
      <c r="AG53">
        <f>HLOOKUP(AD53,$Z$2:$AG$5,4,FALSE)</f>
        <v>-5.4509999999999996</v>
      </c>
      <c r="AH53">
        <f t="shared" si="38"/>
        <v>-16.646100000000001</v>
      </c>
      <c r="AI53">
        <f t="shared" si="39"/>
        <v>5.8978079262602318E-8</v>
      </c>
      <c r="AK53" s="25">
        <f>AI50/$AJ$38</f>
        <v>4.9030579981465592E-7</v>
      </c>
    </row>
    <row r="54" spans="16:38">
      <c r="P54" s="30" t="s">
        <v>161</v>
      </c>
      <c r="Q54" s="30">
        <v>5.69</v>
      </c>
      <c r="R54" s="30">
        <v>1.8</v>
      </c>
      <c r="S54" s="30">
        <v>0.75900000000000001</v>
      </c>
      <c r="T54" s="30">
        <v>0.48699999999999999</v>
      </c>
      <c r="U54" s="30"/>
      <c r="V54" s="30"/>
      <c r="W54" s="30"/>
      <c r="X54" s="30">
        <v>0.49199999999999999</v>
      </c>
      <c r="Z54" s="24">
        <v>10001</v>
      </c>
      <c r="AA54">
        <v>1</v>
      </c>
      <c r="AB54" t="s">
        <v>234</v>
      </c>
      <c r="AC54" t="s">
        <v>149</v>
      </c>
      <c r="AD54" t="s">
        <v>172</v>
      </c>
      <c r="AE54">
        <f t="shared" si="41"/>
        <v>-5.4066000000000001</v>
      </c>
      <c r="AF54">
        <f t="shared" si="42"/>
        <v>-5.7885</v>
      </c>
      <c r="AG54">
        <f t="shared" si="43"/>
        <v>-3.2013599999999993</v>
      </c>
      <c r="AH54">
        <f t="shared" si="38"/>
        <v>-14.396459999999999</v>
      </c>
      <c r="AI54">
        <f t="shared" si="39"/>
        <v>5.5936702779804557E-7</v>
      </c>
      <c r="AK54" s="25"/>
    </row>
    <row r="55" spans="16:38">
      <c r="P55" s="30" t="s">
        <v>240</v>
      </c>
      <c r="Q55" s="30"/>
      <c r="R55" s="30"/>
      <c r="S55" s="30"/>
      <c r="T55" s="30"/>
      <c r="U55" s="30"/>
      <c r="V55" s="30"/>
      <c r="W55" s="30"/>
      <c r="X55" s="30"/>
      <c r="Z55" s="24">
        <v>10001</v>
      </c>
      <c r="AA55">
        <v>1</v>
      </c>
      <c r="AB55" t="s">
        <v>234</v>
      </c>
      <c r="AC55" t="s">
        <v>234</v>
      </c>
      <c r="AD55" t="s">
        <v>149</v>
      </c>
      <c r="AE55">
        <f t="shared" si="41"/>
        <v>-5.4066000000000001</v>
      </c>
      <c r="AF55">
        <f t="shared" si="42"/>
        <v>-5.2733999999999996</v>
      </c>
      <c r="AG55">
        <f t="shared" si="43"/>
        <v>-16.462799999999998</v>
      </c>
      <c r="AH55">
        <f t="shared" si="38"/>
        <v>-27.142799999999998</v>
      </c>
      <c r="AI55">
        <f t="shared" si="39"/>
        <v>1.6294150997754028E-12</v>
      </c>
      <c r="AK55" s="25">
        <f>AI51/$AJ$38</f>
        <v>4.6502175279956166E-6</v>
      </c>
    </row>
    <row r="56" spans="16:38">
      <c r="P56" s="30" t="s">
        <v>160</v>
      </c>
      <c r="Q56" s="30">
        <v>-0.84899999999999998</v>
      </c>
      <c r="R56" s="30">
        <v>-0.63300000000000001</v>
      </c>
      <c r="S56" s="30">
        <v>-0.34599999999999997</v>
      </c>
      <c r="T56" s="30">
        <v>-0.29199999999999998</v>
      </c>
      <c r="U56" s="30"/>
      <c r="V56" s="30"/>
      <c r="W56" s="30"/>
      <c r="X56" s="30">
        <v>-0.71499999999999997</v>
      </c>
      <c r="Z56" s="24">
        <v>10001</v>
      </c>
      <c r="AA56">
        <v>1</v>
      </c>
      <c r="AB56" t="s">
        <v>234</v>
      </c>
      <c r="AC56" t="s">
        <v>234</v>
      </c>
      <c r="AD56" t="s">
        <v>234</v>
      </c>
      <c r="AE56">
        <f t="shared" si="41"/>
        <v>-5.4066000000000001</v>
      </c>
      <c r="AF56">
        <f t="shared" si="42"/>
        <v>-5.2733999999999996</v>
      </c>
      <c r="AG56">
        <f t="shared" si="43"/>
        <v>-5.4509999999999996</v>
      </c>
      <c r="AH56">
        <f t="shared" si="38"/>
        <v>-16.131</v>
      </c>
      <c r="AI56">
        <f>EXP(AH56)</f>
        <v>9.8717855507935682E-8</v>
      </c>
      <c r="AK56" s="25">
        <f>AI52/$AJ$38</f>
        <v>4.9452092403656193E-9</v>
      </c>
    </row>
    <row r="57" spans="16:38">
      <c r="P57" s="30" t="s">
        <v>158</v>
      </c>
      <c r="Q57" s="30">
        <v>-0.8</v>
      </c>
      <c r="R57" s="30">
        <v>0.32500000000000001</v>
      </c>
      <c r="S57" s="30">
        <v>-0.35499999999999998</v>
      </c>
      <c r="T57" s="30">
        <v>-2.3800000000000002E-2</v>
      </c>
      <c r="U57" s="30"/>
      <c r="V57" s="30"/>
      <c r="W57" s="30"/>
      <c r="X57" s="30">
        <v>-0.31</v>
      </c>
      <c r="Z57" s="24">
        <v>10001</v>
      </c>
      <c r="AA57">
        <v>1</v>
      </c>
      <c r="AB57" t="s">
        <v>234</v>
      </c>
      <c r="AC57" t="s">
        <v>234</v>
      </c>
      <c r="AD57" t="s">
        <v>172</v>
      </c>
      <c r="AE57">
        <f t="shared" si="41"/>
        <v>-5.4066000000000001</v>
      </c>
      <c r="AF57">
        <f t="shared" si="42"/>
        <v>-5.2733999999999996</v>
      </c>
      <c r="AG57">
        <f t="shared" si="43"/>
        <v>-3.2013599999999993</v>
      </c>
      <c r="AH57">
        <f t="shared" si="38"/>
        <v>-13.881359999999999</v>
      </c>
      <c r="AI57">
        <f t="shared" si="39"/>
        <v>9.3627181685934126E-7</v>
      </c>
      <c r="AK57" s="25"/>
    </row>
    <row r="58" spans="16:38">
      <c r="P58" s="30" t="s">
        <v>241</v>
      </c>
      <c r="Q58" s="30"/>
      <c r="R58" s="30"/>
      <c r="S58" s="30"/>
      <c r="T58" s="30"/>
      <c r="U58" s="30"/>
      <c r="V58" s="30"/>
      <c r="W58" s="30"/>
      <c r="X58" s="30"/>
      <c r="Z58" s="24">
        <v>10001</v>
      </c>
      <c r="AA58">
        <v>1</v>
      </c>
      <c r="AB58" t="s">
        <v>234</v>
      </c>
      <c r="AC58" t="s">
        <v>172</v>
      </c>
      <c r="AD58" t="s">
        <v>149</v>
      </c>
      <c r="AE58">
        <f t="shared" si="41"/>
        <v>-5.4066000000000001</v>
      </c>
      <c r="AF58">
        <f t="shared" si="42"/>
        <v>-2.6930899999999989</v>
      </c>
      <c r="AG58">
        <f t="shared" si="43"/>
        <v>-16.462799999999998</v>
      </c>
      <c r="AH58">
        <f t="shared" si="38"/>
        <v>-24.562489999999997</v>
      </c>
      <c r="AI58">
        <f t="shared" si="39"/>
        <v>2.1510283345544313E-11</v>
      </c>
      <c r="AK58" s="25"/>
    </row>
    <row r="59" spans="16:38">
      <c r="P59" s="30" t="s">
        <v>242</v>
      </c>
      <c r="Q59" s="30"/>
      <c r="R59" s="30"/>
      <c r="S59" s="30"/>
      <c r="T59" s="30"/>
      <c r="U59" s="30"/>
      <c r="V59" s="30"/>
      <c r="W59" s="30"/>
      <c r="X59" s="30"/>
      <c r="Z59" s="24">
        <v>10001</v>
      </c>
      <c r="AA59">
        <v>1</v>
      </c>
      <c r="AB59" t="s">
        <v>234</v>
      </c>
      <c r="AC59" t="s">
        <v>172</v>
      </c>
      <c r="AD59" t="s">
        <v>234</v>
      </c>
      <c r="AE59">
        <f t="shared" si="41"/>
        <v>-5.4066000000000001</v>
      </c>
      <c r="AF59">
        <f t="shared" si="42"/>
        <v>-2.6930899999999989</v>
      </c>
      <c r="AG59">
        <f t="shared" si="43"/>
        <v>-5.4509999999999996</v>
      </c>
      <c r="AH59">
        <f t="shared" si="38"/>
        <v>-13.550689999999999</v>
      </c>
      <c r="AI59">
        <f t="shared" si="39"/>
        <v>1.303197106454269E-6</v>
      </c>
      <c r="AK59" s="25">
        <f t="shared" ref="AK59:AK82" si="44">AI53/$AJ$38</f>
        <v>2.9960471786115889E-4</v>
      </c>
    </row>
    <row r="60" spans="16:38">
      <c r="P60" s="30" t="s">
        <v>163</v>
      </c>
      <c r="Q60" s="30"/>
      <c r="R60" s="30"/>
      <c r="S60" s="30"/>
      <c r="T60" s="30"/>
      <c r="U60" s="30"/>
      <c r="V60" s="30"/>
      <c r="W60" s="30"/>
      <c r="X60" s="30"/>
      <c r="Z60" s="24">
        <v>10001</v>
      </c>
      <c r="AA60">
        <v>1</v>
      </c>
      <c r="AB60" t="s">
        <v>234</v>
      </c>
      <c r="AC60" t="s">
        <v>172</v>
      </c>
      <c r="AD60" t="s">
        <v>172</v>
      </c>
      <c r="AE60">
        <f t="shared" si="41"/>
        <v>-5.4066000000000001</v>
      </c>
      <c r="AF60">
        <f t="shared" si="42"/>
        <v>-2.6930899999999989</v>
      </c>
      <c r="AG60">
        <f t="shared" si="43"/>
        <v>-3.2013599999999993</v>
      </c>
      <c r="AH60">
        <f t="shared" si="38"/>
        <v>-11.301049999999998</v>
      </c>
      <c r="AI60">
        <f t="shared" si="39"/>
        <v>1.2359939509501299E-5</v>
      </c>
      <c r="AK60" s="25">
        <f t="shared" si="44"/>
        <v>2.8415472772192456E-3</v>
      </c>
    </row>
    <row r="61" spans="16:38">
      <c r="P61" s="30" t="s">
        <v>250</v>
      </c>
      <c r="Q61" s="30">
        <v>0.78</v>
      </c>
      <c r="R61" s="30">
        <v>0.872</v>
      </c>
      <c r="S61" s="30">
        <v>0.47599999999999998</v>
      </c>
      <c r="T61" s="30">
        <v>1.1599999999999999</v>
      </c>
      <c r="U61" s="30"/>
      <c r="V61" s="30"/>
      <c r="W61" s="30"/>
      <c r="X61" s="30">
        <v>0.95099999999999996</v>
      </c>
      <c r="Z61" s="24">
        <v>10001</v>
      </c>
      <c r="AA61">
        <v>1</v>
      </c>
      <c r="AB61" t="s">
        <v>172</v>
      </c>
      <c r="AC61" t="s">
        <v>149</v>
      </c>
      <c r="AD61" t="s">
        <v>149</v>
      </c>
      <c r="AE61">
        <f t="shared" si="41"/>
        <v>-2.9520199999999992</v>
      </c>
      <c r="AF61">
        <f t="shared" si="42"/>
        <v>-5.7885</v>
      </c>
      <c r="AG61">
        <f t="shared" si="43"/>
        <v>-16.462799999999998</v>
      </c>
      <c r="AH61">
        <f t="shared" si="38"/>
        <v>-25.203319999999998</v>
      </c>
      <c r="AI61">
        <f t="shared" si="39"/>
        <v>1.1332799319027132E-11</v>
      </c>
      <c r="AK61" s="25">
        <f t="shared" si="44"/>
        <v>8.2773202747630717E-9</v>
      </c>
    </row>
    <row r="62" spans="16:38">
      <c r="P62" s="30" t="s">
        <v>243</v>
      </c>
      <c r="Q62" s="30"/>
      <c r="R62" s="30"/>
      <c r="S62" s="30"/>
      <c r="T62" s="30"/>
      <c r="U62" s="30"/>
      <c r="V62" s="30"/>
      <c r="W62" s="30"/>
      <c r="X62" s="30"/>
      <c r="Z62" s="24">
        <v>10001</v>
      </c>
      <c r="AA62">
        <v>1</v>
      </c>
      <c r="AB62" t="s">
        <v>172</v>
      </c>
      <c r="AC62" t="s">
        <v>149</v>
      </c>
      <c r="AD62" t="s">
        <v>234</v>
      </c>
      <c r="AE62">
        <f t="shared" si="41"/>
        <v>-2.9520199999999992</v>
      </c>
      <c r="AF62">
        <f t="shared" si="42"/>
        <v>-5.7885</v>
      </c>
      <c r="AG62">
        <f t="shared" si="43"/>
        <v>-5.4509999999999996</v>
      </c>
      <c r="AH62">
        <f t="shared" si="38"/>
        <v>-14.191520000000001</v>
      </c>
      <c r="AI62">
        <f t="shared" si="39"/>
        <v>6.8659585014914853E-7</v>
      </c>
      <c r="AK62" s="25">
        <f t="shared" si="44"/>
        <v>5.0148013663896837E-4</v>
      </c>
    </row>
    <row r="63" spans="16:38">
      <c r="P63" s="30" t="s">
        <v>244</v>
      </c>
      <c r="Q63" s="30"/>
      <c r="R63" s="30"/>
      <c r="S63" s="30"/>
      <c r="T63" s="30"/>
      <c r="U63" s="30"/>
      <c r="V63" s="30"/>
      <c r="W63" s="30"/>
      <c r="X63" s="30"/>
      <c r="Z63" s="24">
        <v>10001</v>
      </c>
      <c r="AA63">
        <v>1</v>
      </c>
      <c r="AB63" t="s">
        <v>172</v>
      </c>
      <c r="AC63" t="s">
        <v>149</v>
      </c>
      <c r="AD63" t="s">
        <v>172</v>
      </c>
      <c r="AE63">
        <f t="shared" si="41"/>
        <v>-2.9520199999999992</v>
      </c>
      <c r="AF63">
        <f t="shared" si="42"/>
        <v>-5.7885</v>
      </c>
      <c r="AG63">
        <f t="shared" si="43"/>
        <v>-3.2013599999999993</v>
      </c>
      <c r="AH63">
        <f t="shared" si="38"/>
        <v>-11.941879999999999</v>
      </c>
      <c r="AI63">
        <f t="shared" si="39"/>
        <v>6.5118953482083175E-6</v>
      </c>
      <c r="AK63" s="25">
        <f t="shared" si="44"/>
        <v>4.7561985239042599E-3</v>
      </c>
    </row>
    <row r="64" spans="16:38">
      <c r="P64" s="30" t="s">
        <v>245</v>
      </c>
      <c r="Q64" s="30"/>
      <c r="R64" s="30"/>
      <c r="S64" s="30"/>
      <c r="T64" s="30"/>
      <c r="U64" s="30"/>
      <c r="V64" s="30"/>
      <c r="W64" s="30"/>
      <c r="X64" s="30"/>
      <c r="Z64" s="24">
        <v>10001</v>
      </c>
      <c r="AA64">
        <v>1</v>
      </c>
      <c r="AB64" t="s">
        <v>172</v>
      </c>
      <c r="AC64" t="s">
        <v>234</v>
      </c>
      <c r="AD64" t="s">
        <v>149</v>
      </c>
      <c r="AE64">
        <f t="shared" si="41"/>
        <v>-2.9520199999999992</v>
      </c>
      <c r="AF64">
        <f t="shared" si="42"/>
        <v>-5.2733999999999996</v>
      </c>
      <c r="AG64">
        <f t="shared" si="43"/>
        <v>-16.462799999999998</v>
      </c>
      <c r="AH64">
        <f t="shared" si="38"/>
        <v>-24.688219999999998</v>
      </c>
      <c r="AI64">
        <f t="shared" si="39"/>
        <v>1.8968906069234192E-11</v>
      </c>
      <c r="AK64" s="25">
        <f t="shared" si="44"/>
        <v>1.0927080795833689E-7</v>
      </c>
      <c r="AL64">
        <v>9</v>
      </c>
    </row>
    <row r="65" spans="16:38">
      <c r="P65" s="30" t="s">
        <v>246</v>
      </c>
      <c r="Q65" s="30"/>
      <c r="R65" s="30"/>
      <c r="S65" s="30"/>
      <c r="T65" s="30"/>
      <c r="U65" s="30"/>
      <c r="V65" s="30"/>
      <c r="W65" s="30"/>
      <c r="X65" s="30"/>
      <c r="Z65" s="24">
        <v>10001</v>
      </c>
      <c r="AA65">
        <v>1</v>
      </c>
      <c r="AB65" t="s">
        <v>172</v>
      </c>
      <c r="AC65" t="s">
        <v>234</v>
      </c>
      <c r="AD65" t="s">
        <v>234</v>
      </c>
      <c r="AE65">
        <f t="shared" si="41"/>
        <v>-2.9520199999999992</v>
      </c>
      <c r="AF65">
        <f t="shared" si="42"/>
        <v>-5.2733999999999996</v>
      </c>
      <c r="AG65">
        <f t="shared" si="43"/>
        <v>-5.4509999999999996</v>
      </c>
      <c r="AH65">
        <f>SUM(AE65:AG65)</f>
        <v>-13.67642</v>
      </c>
      <c r="AI65">
        <f t="shared" si="39"/>
        <v>1.1492281670547784E-6</v>
      </c>
      <c r="AK65" s="25">
        <f t="shared" si="44"/>
        <v>6.6201545774022576E-3</v>
      </c>
    </row>
    <row r="66" spans="16:38">
      <c r="P66" s="30" t="s">
        <v>251</v>
      </c>
      <c r="Q66" s="30"/>
      <c r="R66" s="30"/>
      <c r="S66" s="30"/>
      <c r="T66" s="30"/>
      <c r="U66" s="30"/>
      <c r="V66" s="30"/>
      <c r="W66" s="30"/>
      <c r="X66" s="30"/>
      <c r="Z66" s="24">
        <v>10001</v>
      </c>
      <c r="AA66">
        <v>1</v>
      </c>
      <c r="AB66" t="s">
        <v>172</v>
      </c>
      <c r="AC66" t="s">
        <v>234</v>
      </c>
      <c r="AD66" t="s">
        <v>172</v>
      </c>
      <c r="AE66">
        <f t="shared" si="41"/>
        <v>-2.9520199999999992</v>
      </c>
      <c r="AF66">
        <f t="shared" si="42"/>
        <v>-5.2733999999999996</v>
      </c>
      <c r="AG66">
        <f t="shared" si="43"/>
        <v>-3.2013599999999993</v>
      </c>
      <c r="AH66">
        <f>SUM(AE66:AG66)</f>
        <v>-11.426779999999999</v>
      </c>
      <c r="AI66">
        <f>EXP(AH66)</f>
        <v>1.0899648684809727E-5</v>
      </c>
      <c r="AK66" s="25">
        <f t="shared" si="44"/>
        <v>6.2787670195852588E-2</v>
      </c>
      <c r="AL66">
        <v>5</v>
      </c>
    </row>
    <row r="67" spans="16:38">
      <c r="P67" s="30" t="s">
        <v>247</v>
      </c>
      <c r="Q67" s="30"/>
      <c r="R67" s="30"/>
      <c r="S67" s="30"/>
      <c r="T67" s="30"/>
      <c r="U67" s="30"/>
      <c r="V67" s="30"/>
      <c r="W67" s="30"/>
      <c r="X67" s="30"/>
      <c r="Z67" s="24">
        <v>10001</v>
      </c>
      <c r="AA67">
        <v>1</v>
      </c>
      <c r="AB67" t="s">
        <v>172</v>
      </c>
      <c r="AC67" t="s">
        <v>172</v>
      </c>
      <c r="AD67" t="s">
        <v>149</v>
      </c>
      <c r="AE67">
        <f t="shared" si="41"/>
        <v>-2.9520199999999992</v>
      </c>
      <c r="AF67">
        <f t="shared" si="42"/>
        <v>-2.6930899999999989</v>
      </c>
      <c r="AG67">
        <f t="shared" si="43"/>
        <v>-16.462799999999998</v>
      </c>
      <c r="AH67">
        <f t="shared" si="38"/>
        <v>-22.107909999999997</v>
      </c>
      <c r="AI67">
        <f t="shared" si="39"/>
        <v>2.5041289009810007E-10</v>
      </c>
      <c r="AK67" s="25">
        <f t="shared" si="44"/>
        <v>5.7569866380969733E-8</v>
      </c>
      <c r="AL67">
        <v>11</v>
      </c>
    </row>
    <row r="68" spans="16:38">
      <c r="P68" s="30" t="s">
        <v>248</v>
      </c>
      <c r="Q68" s="30"/>
      <c r="R68" s="30"/>
      <c r="S68" s="30"/>
      <c r="T68" s="30"/>
      <c r="U68" s="30"/>
      <c r="V68" s="30"/>
      <c r="W68" s="30"/>
      <c r="X68" s="30"/>
      <c r="Z68" s="24">
        <v>10001</v>
      </c>
      <c r="AA68">
        <v>1</v>
      </c>
      <c r="AB68" t="s">
        <v>172</v>
      </c>
      <c r="AC68" t="s">
        <v>172</v>
      </c>
      <c r="AD68" t="s">
        <v>234</v>
      </c>
      <c r="AE68">
        <f t="shared" si="41"/>
        <v>-2.9520199999999992</v>
      </c>
      <c r="AF68">
        <f t="shared" si="42"/>
        <v>-2.6930899999999989</v>
      </c>
      <c r="AG68">
        <f t="shared" si="43"/>
        <v>-5.4509999999999996</v>
      </c>
      <c r="AH68">
        <f t="shared" si="38"/>
        <v>-11.096109999999998</v>
      </c>
      <c r="AI68">
        <f t="shared" si="39"/>
        <v>1.5171225248517874E-5</v>
      </c>
      <c r="AK68" s="25">
        <f t="shared" si="44"/>
        <v>3.4878612281125285E-3</v>
      </c>
    </row>
    <row r="69" spans="16:38">
      <c r="P69" s="30" t="s">
        <v>249</v>
      </c>
      <c r="Q69" s="30"/>
      <c r="R69" s="30"/>
      <c r="S69" s="30"/>
      <c r="T69" s="30"/>
      <c r="U69" s="30"/>
      <c r="V69" s="30"/>
      <c r="W69" s="30"/>
      <c r="X69" s="30"/>
      <c r="Z69" s="24">
        <v>10001</v>
      </c>
      <c r="AA69">
        <v>1</v>
      </c>
      <c r="AB69" t="s">
        <v>172</v>
      </c>
      <c r="AC69" t="s">
        <v>172</v>
      </c>
      <c r="AD69" t="s">
        <v>172</v>
      </c>
      <c r="AE69">
        <f t="shared" si="41"/>
        <v>-2.9520199999999992</v>
      </c>
      <c r="AF69">
        <f t="shared" si="42"/>
        <v>-2.6930899999999989</v>
      </c>
      <c r="AG69">
        <f t="shared" si="43"/>
        <v>-3.2013599999999993</v>
      </c>
      <c r="AH69">
        <f t="shared" si="38"/>
        <v>-8.8464699999999965</v>
      </c>
      <c r="AI69">
        <f t="shared" si="39"/>
        <v>1.4388876819017087E-4</v>
      </c>
      <c r="AK69" s="25">
        <f t="shared" si="44"/>
        <v>3.3079995024159106E-2</v>
      </c>
      <c r="AL69">
        <v>6</v>
      </c>
    </row>
    <row r="70" spans="16:38">
      <c r="P70" s="30" t="s">
        <v>252</v>
      </c>
      <c r="Q70" s="30"/>
      <c r="R70" s="30">
        <v>-1.36</v>
      </c>
      <c r="S70" s="30">
        <v>0.876</v>
      </c>
      <c r="T70" s="30">
        <v>1.62</v>
      </c>
      <c r="U70" s="30"/>
      <c r="V70" s="30"/>
      <c r="W70" s="30"/>
      <c r="X70" s="30">
        <v>0.13400000000000001</v>
      </c>
      <c r="Z70" s="24">
        <v>10001</v>
      </c>
      <c r="AA70">
        <v>1</v>
      </c>
      <c r="AB70" t="s">
        <v>173</v>
      </c>
      <c r="AC70" t="s">
        <v>149</v>
      </c>
      <c r="AD70" t="s">
        <v>174</v>
      </c>
      <c r="AE70">
        <f t="shared" si="41"/>
        <v>-8.1814999999999998</v>
      </c>
      <c r="AF70">
        <f t="shared" si="42"/>
        <v>-5.7885</v>
      </c>
      <c r="AG70">
        <f t="shared" si="43"/>
        <v>-11.1496</v>
      </c>
      <c r="AH70">
        <f t="shared" si="38"/>
        <v>-25.119599999999998</v>
      </c>
      <c r="AI70">
        <f t="shared" si="39"/>
        <v>1.2322429223843904E-11</v>
      </c>
      <c r="AK70" s="25">
        <f t="shared" si="44"/>
        <v>9.6360780514793811E-8</v>
      </c>
      <c r="AL70">
        <v>3</v>
      </c>
    </row>
    <row r="71" spans="16:38">
      <c r="P71" s="30" t="s">
        <v>157</v>
      </c>
      <c r="Q71" s="30"/>
      <c r="R71" s="30">
        <v>-1.59</v>
      </c>
      <c r="S71" s="30">
        <v>0.111</v>
      </c>
      <c r="T71" s="30">
        <v>0.53</v>
      </c>
      <c r="U71" s="30"/>
      <c r="V71" s="30"/>
      <c r="W71" s="30"/>
      <c r="X71" s="30">
        <v>-0.33900000000000002</v>
      </c>
      <c r="Z71" s="24">
        <v>10001</v>
      </c>
      <c r="AA71">
        <v>1</v>
      </c>
      <c r="AB71" t="s">
        <v>173</v>
      </c>
      <c r="AC71" t="s">
        <v>234</v>
      </c>
      <c r="AD71" t="s">
        <v>174</v>
      </c>
      <c r="AE71">
        <f t="shared" si="41"/>
        <v>-8.1814999999999998</v>
      </c>
      <c r="AF71">
        <f t="shared" si="42"/>
        <v>-5.2733999999999996</v>
      </c>
      <c r="AG71">
        <f t="shared" si="43"/>
        <v>-11.1496</v>
      </c>
      <c r="AH71">
        <f t="shared" si="38"/>
        <v>-24.604499999999998</v>
      </c>
      <c r="AI71">
        <f t="shared" si="39"/>
        <v>2.062535441701858E-11</v>
      </c>
      <c r="AK71" s="25">
        <f t="shared" si="44"/>
        <v>5.8380026113680414E-3</v>
      </c>
    </row>
    <row r="72" spans="16:38">
      <c r="P72" s="30" t="s">
        <v>253</v>
      </c>
      <c r="Q72" s="30"/>
      <c r="R72" s="30">
        <v>-1.76</v>
      </c>
      <c r="S72" s="30">
        <v>0.153</v>
      </c>
      <c r="T72" s="30">
        <v>0.33</v>
      </c>
      <c r="U72" s="30"/>
      <c r="V72" s="30"/>
      <c r="W72" s="30"/>
      <c r="X72" s="30">
        <v>-0.42099999999999999</v>
      </c>
      <c r="Z72" s="24">
        <v>10001</v>
      </c>
      <c r="AA72">
        <v>1</v>
      </c>
      <c r="AB72" t="s">
        <v>173</v>
      </c>
      <c r="AC72" t="s">
        <v>172</v>
      </c>
      <c r="AD72" t="s">
        <v>174</v>
      </c>
      <c r="AE72">
        <f t="shared" si="41"/>
        <v>-8.1814999999999998</v>
      </c>
      <c r="AF72">
        <f t="shared" si="42"/>
        <v>-2.6930899999999989</v>
      </c>
      <c r="AG72">
        <f t="shared" si="43"/>
        <v>-11.1496</v>
      </c>
      <c r="AH72">
        <f t="shared" si="38"/>
        <v>-22.024189999999997</v>
      </c>
      <c r="AI72">
        <f t="shared" si="39"/>
        <v>2.7228004556573514E-10</v>
      </c>
      <c r="AK72" s="25">
        <f t="shared" si="44"/>
        <v>5.5369489983863554E-2</v>
      </c>
      <c r="AL72">
        <v>2</v>
      </c>
    </row>
    <row r="73" spans="16:38">
      <c r="P73" s="30" t="s">
        <v>254</v>
      </c>
      <c r="Q73" s="30"/>
      <c r="R73" s="30">
        <v>-1.35</v>
      </c>
      <c r="S73" s="30">
        <v>-0.13900000000000001</v>
      </c>
      <c r="T73" s="30">
        <v>0.80900000000000005</v>
      </c>
      <c r="U73" s="30"/>
      <c r="V73" s="30"/>
      <c r="W73" s="30"/>
      <c r="X73" s="30">
        <v>-0.36599999999999999</v>
      </c>
      <c r="Z73" s="24">
        <v>10001</v>
      </c>
      <c r="AA73">
        <v>1</v>
      </c>
      <c r="AB73" t="s">
        <v>233</v>
      </c>
      <c r="AC73" t="s">
        <v>144</v>
      </c>
      <c r="AD73" t="s">
        <v>144</v>
      </c>
      <c r="AE73">
        <f t="shared" ref="AE73:AE76" si="45">HLOOKUP(AB73,$Z$2:$AG$5,2,FALSE)</f>
        <v>-9.7583400000000005</v>
      </c>
      <c r="AF73">
        <f>HLOOKUP(AC73,$Z$2:$AG$5,3,FALSE)</f>
        <v>-1.9784000000000006</v>
      </c>
      <c r="AG73">
        <f t="shared" ref="AG73:AG76" si="46">HLOOKUP(AD73,$Z$2:$AG$5,4,FALSE)</f>
        <v>-5.6246000000000009</v>
      </c>
      <c r="AH73">
        <f t="shared" ref="AH73:AH76" si="47">SUM(AE73:AG73)</f>
        <v>-17.361340000000002</v>
      </c>
      <c r="AI73">
        <f t="shared" ref="AI73:AI76" si="48">EXP(AH73)</f>
        <v>2.8844687588349145E-8</v>
      </c>
      <c r="AK73" s="25">
        <f t="shared" si="44"/>
        <v>1.2720808175625267E-6</v>
      </c>
    </row>
    <row r="74" spans="16:38">
      <c r="P74" s="30" t="s">
        <v>153</v>
      </c>
      <c r="Q74" s="30"/>
      <c r="R74" s="30">
        <v>-0.32</v>
      </c>
      <c r="S74" s="30">
        <v>1.1399999999999999</v>
      </c>
      <c r="T74" s="30">
        <v>-3.25</v>
      </c>
      <c r="U74" s="30">
        <v>-10.99</v>
      </c>
      <c r="V74" s="30">
        <v>-8.24</v>
      </c>
      <c r="W74" s="30">
        <v>-10.02</v>
      </c>
      <c r="X74" s="30">
        <v>1.54</v>
      </c>
      <c r="Z74" s="24">
        <v>10001</v>
      </c>
      <c r="AA74">
        <v>1</v>
      </c>
      <c r="AB74" t="s">
        <v>233</v>
      </c>
      <c r="AC74" t="s">
        <v>144</v>
      </c>
      <c r="AD74" t="s">
        <v>233</v>
      </c>
      <c r="AE74">
        <f t="shared" si="45"/>
        <v>-9.7583400000000005</v>
      </c>
      <c r="AF74">
        <f t="shared" ref="AF74:AF76" si="49">HLOOKUP(AC74,$Z$2:$AG$5,3,FALSE)</f>
        <v>-1.9784000000000006</v>
      </c>
      <c r="AG74">
        <f t="shared" si="46"/>
        <v>-9.6301799999999993</v>
      </c>
      <c r="AH74">
        <f t="shared" si="47"/>
        <v>-21.36692</v>
      </c>
      <c r="AI74">
        <f t="shared" si="48"/>
        <v>5.2536912770800998E-10</v>
      </c>
      <c r="AK74" s="25">
        <f t="shared" si="44"/>
        <v>7.7068814668443827E-2</v>
      </c>
    </row>
    <row r="75" spans="16:38">
      <c r="Z75" s="24">
        <v>10001</v>
      </c>
      <c r="AA75">
        <v>1</v>
      </c>
      <c r="AB75" t="s">
        <v>233</v>
      </c>
      <c r="AC75" t="s">
        <v>233</v>
      </c>
      <c r="AD75" t="s">
        <v>144</v>
      </c>
      <c r="AE75">
        <f t="shared" si="45"/>
        <v>-9.7583400000000005</v>
      </c>
      <c r="AF75">
        <f t="shared" si="49"/>
        <v>-9.8811599999999995</v>
      </c>
      <c r="AG75">
        <f t="shared" si="46"/>
        <v>-5.6246000000000009</v>
      </c>
      <c r="AH75">
        <f t="shared" si="47"/>
        <v>-25.264099999999999</v>
      </c>
      <c r="AI75">
        <f t="shared" si="48"/>
        <v>1.0664506904515302E-11</v>
      </c>
      <c r="AK75" s="25">
        <f t="shared" si="44"/>
        <v>0.73094536709237157</v>
      </c>
    </row>
    <row r="76" spans="16:38">
      <c r="Z76" s="24">
        <v>10001</v>
      </c>
      <c r="AA76">
        <v>1</v>
      </c>
      <c r="AB76" t="s">
        <v>233</v>
      </c>
      <c r="AC76" t="s">
        <v>233</v>
      </c>
      <c r="AD76" t="s">
        <v>233</v>
      </c>
      <c r="AE76">
        <f t="shared" si="45"/>
        <v>-9.7583400000000005</v>
      </c>
      <c r="AF76">
        <f t="shared" si="49"/>
        <v>-9.8811599999999995</v>
      </c>
      <c r="AG76">
        <f t="shared" si="46"/>
        <v>-9.6301799999999993</v>
      </c>
      <c r="AH76">
        <f t="shared" si="47"/>
        <v>-29.269679999999997</v>
      </c>
      <c r="AI76">
        <f t="shared" si="48"/>
        <v>1.9424036653890886E-13</v>
      </c>
      <c r="AK76" s="25">
        <f t="shared" si="44"/>
        <v>6.2597120440896398E-8</v>
      </c>
    </row>
    <row r="77" spans="16:38">
      <c r="AK77" s="25">
        <f t="shared" si="44"/>
        <v>1.0477542789047078E-7</v>
      </c>
    </row>
    <row r="78" spans="16:38">
      <c r="AK78" s="25">
        <f t="shared" si="44"/>
        <v>1.3831645121524449E-6</v>
      </c>
    </row>
    <row r="79" spans="16:38">
      <c r="AK79" s="25">
        <f t="shared" si="44"/>
        <v>1.4652909343184503E-4</v>
      </c>
    </row>
    <row r="80" spans="16:38">
      <c r="AK80" s="25">
        <f t="shared" si="44"/>
        <v>2.6688402072077975E-6</v>
      </c>
    </row>
    <row r="81" spans="26:37" ht="28.8">
      <c r="Z81" s="23" t="s">
        <v>1</v>
      </c>
      <c r="AA81" s="18" t="s">
        <v>210</v>
      </c>
      <c r="AB81" t="s">
        <v>176</v>
      </c>
      <c r="AK81" s="25">
        <f t="shared" si="44"/>
        <v>5.4174985387862685E-8</v>
      </c>
    </row>
    <row r="82" spans="26:37">
      <c r="Z82" s="23">
        <v>10005</v>
      </c>
      <c r="AA82">
        <v>1</v>
      </c>
      <c r="AB82" t="s">
        <v>59</v>
      </c>
      <c r="AC82" t="s">
        <v>59</v>
      </c>
      <c r="AE82">
        <f>HLOOKUP(AB82,$Z$2:$AG$19,17,FALSE)</f>
        <v>-3.6289999999999996</v>
      </c>
      <c r="AF82">
        <f>HLOOKUP(AC82,$Z$2:$AG$19,18,FALSE)</f>
        <v>-3.6289999999999996</v>
      </c>
      <c r="AH82">
        <f t="shared" ref="AH82:AH96" si="50">SUM(AE82:AG82)</f>
        <v>-7.2579999999999991</v>
      </c>
      <c r="AI82">
        <f t="shared" ref="AI82:AI96" si="51">EXP(AH82)</f>
        <v>7.0451565883171386E-4</v>
      </c>
      <c r="AK82" s="25">
        <f t="shared" si="44"/>
        <v>9.867281359743979E-10</v>
      </c>
    </row>
    <row r="83" spans="26:37">
      <c r="Z83" s="24">
        <v>10005</v>
      </c>
      <c r="AA83">
        <v>1</v>
      </c>
      <c r="AB83" t="s">
        <v>144</v>
      </c>
      <c r="AC83" t="s">
        <v>144</v>
      </c>
      <c r="AE83">
        <f t="shared" ref="AE83:AE93" si="52">HLOOKUP(AB83,$Z$2:$AG$19,17,FALSE)</f>
        <v>-5.0684000000000005</v>
      </c>
      <c r="AF83">
        <f t="shared" ref="AF83:AF93" si="53">HLOOKUP(AC83,$Z$2:$AG$19,18,FALSE)</f>
        <v>-5.0684000000000005</v>
      </c>
      <c r="AH83">
        <f t="shared" si="50"/>
        <v>-10.136800000000001</v>
      </c>
      <c r="AI83">
        <f t="shared" si="51"/>
        <v>3.9595305290580565E-5</v>
      </c>
    </row>
    <row r="84" spans="26:37">
      <c r="Z84" s="24">
        <v>10005</v>
      </c>
      <c r="AA84">
        <v>1</v>
      </c>
      <c r="AB84" t="s">
        <v>144</v>
      </c>
      <c r="AC84" t="s">
        <v>233</v>
      </c>
      <c r="AE84">
        <f t="shared" si="52"/>
        <v>-5.0684000000000005</v>
      </c>
      <c r="AF84">
        <f t="shared" si="53"/>
        <v>-9.7583400000000005</v>
      </c>
      <c r="AH84">
        <f t="shared" si="50"/>
        <v>-14.826740000000001</v>
      </c>
      <c r="AI84">
        <f t="shared" si="51"/>
        <v>3.6377146859859809E-7</v>
      </c>
    </row>
    <row r="85" spans="26:37">
      <c r="Z85" s="24">
        <v>10005</v>
      </c>
      <c r="AA85">
        <v>1</v>
      </c>
      <c r="AB85" t="s">
        <v>149</v>
      </c>
      <c r="AC85" t="s">
        <v>149</v>
      </c>
      <c r="AE85">
        <f t="shared" si="52"/>
        <v>-14.917199999999998</v>
      </c>
      <c r="AF85">
        <f t="shared" si="53"/>
        <v>-14.917199999999998</v>
      </c>
      <c r="AH85">
        <f t="shared" si="50"/>
        <v>-29.834399999999995</v>
      </c>
      <c r="AI85">
        <f t="shared" si="51"/>
        <v>1.1042939913562248E-13</v>
      </c>
    </row>
    <row r="86" spans="26:37">
      <c r="Z86" s="24">
        <v>10005</v>
      </c>
      <c r="AA86">
        <v>1</v>
      </c>
      <c r="AB86" t="s">
        <v>149</v>
      </c>
      <c r="AC86" t="s">
        <v>234</v>
      </c>
      <c r="AE86">
        <f t="shared" si="52"/>
        <v>-14.917199999999998</v>
      </c>
      <c r="AF86">
        <f t="shared" si="53"/>
        <v>-5.4066000000000001</v>
      </c>
      <c r="AH86">
        <f t="shared" si="50"/>
        <v>-20.323799999999999</v>
      </c>
      <c r="AI86">
        <f t="shared" si="51"/>
        <v>1.4910280327987663E-9</v>
      </c>
    </row>
    <row r="87" spans="26:37">
      <c r="Z87" s="24">
        <v>10005</v>
      </c>
      <c r="AA87">
        <v>1</v>
      </c>
      <c r="AB87" t="s">
        <v>149</v>
      </c>
      <c r="AC87" t="s">
        <v>172</v>
      </c>
      <c r="AE87">
        <f t="shared" si="52"/>
        <v>-14.917199999999998</v>
      </c>
      <c r="AF87">
        <f t="shared" si="53"/>
        <v>-2.9520199999999992</v>
      </c>
      <c r="AH87">
        <f t="shared" si="50"/>
        <v>-17.869219999999999</v>
      </c>
      <c r="AI87">
        <f t="shared" si="51"/>
        <v>1.735786706816045E-8</v>
      </c>
    </row>
    <row r="88" spans="26:37">
      <c r="Z88" s="24">
        <v>10005</v>
      </c>
      <c r="AA88">
        <v>1</v>
      </c>
      <c r="AB88" t="s">
        <v>234</v>
      </c>
      <c r="AC88" t="s">
        <v>149</v>
      </c>
      <c r="AE88">
        <f t="shared" si="52"/>
        <v>-5.4066000000000001</v>
      </c>
      <c r="AF88">
        <f t="shared" si="53"/>
        <v>-14.917199999999998</v>
      </c>
      <c r="AH88">
        <f t="shared" si="50"/>
        <v>-20.323799999999999</v>
      </c>
      <c r="AI88">
        <f t="shared" si="51"/>
        <v>1.4910280327987663E-9</v>
      </c>
      <c r="AJ88">
        <f>SUM(AI82:AI96)</f>
        <v>3.9621505972371931E-3</v>
      </c>
      <c r="AK88" s="25">
        <f>AI82/$AJ$88</f>
        <v>0.17781142880408748</v>
      </c>
    </row>
    <row r="89" spans="26:37">
      <c r="Z89" s="24">
        <v>10005</v>
      </c>
      <c r="AA89">
        <v>1</v>
      </c>
      <c r="AB89" t="s">
        <v>234</v>
      </c>
      <c r="AC89" t="s">
        <v>234</v>
      </c>
      <c r="AE89">
        <f t="shared" si="52"/>
        <v>-5.4066000000000001</v>
      </c>
      <c r="AF89">
        <f t="shared" si="53"/>
        <v>-5.4066000000000001</v>
      </c>
      <c r="AH89">
        <f t="shared" si="50"/>
        <v>-10.8132</v>
      </c>
      <c r="AI89">
        <f t="shared" si="51"/>
        <v>2.0131999376917837E-5</v>
      </c>
      <c r="AK89" s="25">
        <f t="shared" ref="AK89:AK102" si="54">AI83/$AJ$88</f>
        <v>9.993387257463248E-3</v>
      </c>
    </row>
    <row r="90" spans="26:37">
      <c r="Z90" s="24">
        <v>10005</v>
      </c>
      <c r="AA90">
        <v>1</v>
      </c>
      <c r="AB90" t="s">
        <v>234</v>
      </c>
      <c r="AC90" t="s">
        <v>172</v>
      </c>
      <c r="AE90">
        <f t="shared" si="52"/>
        <v>-5.4066000000000001</v>
      </c>
      <c r="AF90">
        <f t="shared" si="53"/>
        <v>-2.9520199999999992</v>
      </c>
      <c r="AH90">
        <f t="shared" si="50"/>
        <v>-8.3586199999999984</v>
      </c>
      <c r="AI90">
        <f t="shared" si="51"/>
        <v>2.3436753790932386E-4</v>
      </c>
      <c r="AK90" s="25">
        <f t="shared" si="54"/>
        <v>9.1811620904126121E-5</v>
      </c>
    </row>
    <row r="91" spans="26:37">
      <c r="Z91" s="24">
        <v>10005</v>
      </c>
      <c r="AA91">
        <v>1</v>
      </c>
      <c r="AB91" t="s">
        <v>172</v>
      </c>
      <c r="AC91" t="s">
        <v>149</v>
      </c>
      <c r="AE91">
        <f t="shared" si="52"/>
        <v>-2.9520199999999992</v>
      </c>
      <c r="AF91">
        <f t="shared" si="53"/>
        <v>-14.917199999999998</v>
      </c>
      <c r="AH91">
        <f t="shared" si="50"/>
        <v>-17.869219999999999</v>
      </c>
      <c r="AI91">
        <f t="shared" si="51"/>
        <v>1.735786706816045E-8</v>
      </c>
      <c r="AK91" s="25">
        <f t="shared" si="54"/>
        <v>2.7871075676079776E-11</v>
      </c>
    </row>
    <row r="92" spans="26:37">
      <c r="Z92" s="24">
        <v>10005</v>
      </c>
      <c r="AA92">
        <v>1</v>
      </c>
      <c r="AB92" t="s">
        <v>172</v>
      </c>
      <c r="AC92" t="s">
        <v>234</v>
      </c>
      <c r="AE92">
        <f t="shared" si="52"/>
        <v>-2.9520199999999992</v>
      </c>
      <c r="AF92">
        <f t="shared" si="53"/>
        <v>-5.4066000000000001</v>
      </c>
      <c r="AH92">
        <f t="shared" si="50"/>
        <v>-8.3586199999999984</v>
      </c>
      <c r="AI92">
        <f t="shared" si="51"/>
        <v>2.3436753790932386E-4</v>
      </c>
      <c r="AK92" s="25">
        <f t="shared" si="54"/>
        <v>3.7631785975991422E-7</v>
      </c>
    </row>
    <row r="93" spans="26:37">
      <c r="Z93" s="24">
        <v>10005</v>
      </c>
      <c r="AA93">
        <v>1</v>
      </c>
      <c r="AB93" t="s">
        <v>172</v>
      </c>
      <c r="AC93" t="s">
        <v>172</v>
      </c>
      <c r="AE93">
        <f t="shared" si="52"/>
        <v>-2.9520199999999992</v>
      </c>
      <c r="AF93">
        <f t="shared" si="53"/>
        <v>-2.9520199999999992</v>
      </c>
      <c r="AH93">
        <f t="shared" si="50"/>
        <v>-5.9040399999999984</v>
      </c>
      <c r="AI93">
        <f t="shared" si="51"/>
        <v>2.7283997876860464E-3</v>
      </c>
      <c r="AK93" s="25">
        <f t="shared" si="54"/>
        <v>4.3809205738580679E-6</v>
      </c>
    </row>
    <row r="94" spans="26:37">
      <c r="Z94" s="24">
        <v>10005</v>
      </c>
      <c r="AA94">
        <v>1</v>
      </c>
      <c r="AB94" t="s">
        <v>173</v>
      </c>
      <c r="AC94" t="s">
        <v>174</v>
      </c>
      <c r="AE94">
        <f t="shared" ref="AE94:AE96" si="55">HLOOKUP(AB94,$Z$2:$AG$19,17,FALSE)</f>
        <v>-8.1814999999999998</v>
      </c>
      <c r="AF94">
        <f t="shared" ref="AF94:AF96" si="56">HLOOKUP(AC94,$Z$2:$AG$19,18,FALSE)</f>
        <v>-11.1097</v>
      </c>
      <c r="AH94">
        <f t="shared" si="50"/>
        <v>-19.2912</v>
      </c>
      <c r="AI94">
        <f t="shared" si="51"/>
        <v>4.1873406259254351E-9</v>
      </c>
      <c r="AK94" s="25">
        <f t="shared" si="54"/>
        <v>3.7631785975991422E-7</v>
      </c>
    </row>
    <row r="95" spans="26:37">
      <c r="Z95" s="24">
        <v>10005</v>
      </c>
      <c r="AA95">
        <v>1</v>
      </c>
      <c r="AB95" t="s">
        <v>233</v>
      </c>
      <c r="AC95" t="s">
        <v>144</v>
      </c>
      <c r="AE95">
        <f t="shared" si="55"/>
        <v>-9.7583400000000005</v>
      </c>
      <c r="AF95">
        <f t="shared" si="56"/>
        <v>-5.0684000000000005</v>
      </c>
      <c r="AH95">
        <f t="shared" si="50"/>
        <v>-14.826740000000001</v>
      </c>
      <c r="AI95">
        <f t="shared" si="51"/>
        <v>3.6377146859859809E-7</v>
      </c>
      <c r="AK95" s="25">
        <f t="shared" si="54"/>
        <v>5.0810787936621787E-3</v>
      </c>
    </row>
    <row r="96" spans="26:37">
      <c r="Z96" s="24">
        <v>10005</v>
      </c>
      <c r="AA96">
        <v>1</v>
      </c>
      <c r="AB96" t="s">
        <v>233</v>
      </c>
      <c r="AC96" t="s">
        <v>233</v>
      </c>
      <c r="AE96">
        <f t="shared" si="55"/>
        <v>-9.7583400000000005</v>
      </c>
      <c r="AF96">
        <f t="shared" si="56"/>
        <v>-9.7583400000000005</v>
      </c>
      <c r="AH96">
        <f t="shared" si="50"/>
        <v>-19.516680000000001</v>
      </c>
      <c r="AI96">
        <f t="shared" si="51"/>
        <v>3.3420548318858678E-9</v>
      </c>
      <c r="AK96" s="25">
        <f>AI90/$AJ$88</f>
        <v>5.9151597638097929E-2</v>
      </c>
    </row>
    <row r="97" spans="37:37">
      <c r="AK97" s="25">
        <f t="shared" si="54"/>
        <v>4.3809205738580679E-6</v>
      </c>
    </row>
    <row r="98" spans="37:37">
      <c r="AK98" s="25">
        <f t="shared" si="54"/>
        <v>5.9151597638097929E-2</v>
      </c>
    </row>
    <row r="99" spans="37:37">
      <c r="AK99" s="25">
        <f t="shared" si="54"/>
        <v>0.6886158717915869</v>
      </c>
    </row>
    <row r="100" spans="37:37">
      <c r="AK100" s="25">
        <f t="shared" si="54"/>
        <v>1.0568353027381813E-6</v>
      </c>
    </row>
    <row r="101" spans="37:37">
      <c r="AK101" s="25">
        <f t="shared" si="54"/>
        <v>9.1811620904126121E-5</v>
      </c>
    </row>
    <row r="102" spans="37:37">
      <c r="AK102" s="25">
        <f t="shared" si="54"/>
        <v>8.4349515493335413E-7</v>
      </c>
    </row>
  </sheetData>
  <mergeCells count="1">
    <mergeCell ref="BK1:BR1"/>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50EB-D34E-44AE-B763-3E3D0A2D0603}">
  <dimension ref="A1:O10"/>
  <sheetViews>
    <sheetView workbookViewId="0">
      <selection activeCell="K9" sqref="K9"/>
    </sheetView>
  </sheetViews>
  <sheetFormatPr defaultRowHeight="14.4"/>
  <cols>
    <col min="9" max="9" width="9.77734375" bestFit="1" customWidth="1"/>
    <col min="10" max="10" width="8.6640625" bestFit="1" customWidth="1"/>
    <col min="12" max="12" width="10.44140625" bestFit="1" customWidth="1"/>
  </cols>
  <sheetData>
    <row r="1" spans="1:15">
      <c r="A1" t="s">
        <v>1</v>
      </c>
      <c r="B1" t="s">
        <v>291</v>
      </c>
      <c r="C1" t="s">
        <v>292</v>
      </c>
      <c r="D1" t="s">
        <v>293</v>
      </c>
      <c r="E1" t="s">
        <v>294</v>
      </c>
      <c r="F1" t="s">
        <v>295</v>
      </c>
      <c r="G1" t="s">
        <v>296</v>
      </c>
      <c r="H1" t="s">
        <v>297</v>
      </c>
      <c r="I1" t="s">
        <v>298</v>
      </c>
      <c r="J1" t="s">
        <v>299</v>
      </c>
      <c r="K1" t="s">
        <v>300</v>
      </c>
      <c r="L1" t="s">
        <v>301</v>
      </c>
      <c r="M1" t="s">
        <v>302</v>
      </c>
      <c r="N1" t="s">
        <v>303</v>
      </c>
      <c r="O1" t="s">
        <v>304</v>
      </c>
    </row>
    <row r="2" spans="1:15">
      <c r="A2">
        <v>10001</v>
      </c>
      <c r="B2">
        <v>20001</v>
      </c>
      <c r="C2">
        <v>29</v>
      </c>
      <c r="D2">
        <v>1</v>
      </c>
      <c r="E2">
        <v>3</v>
      </c>
      <c r="F2">
        <v>1</v>
      </c>
      <c r="G2">
        <v>3</v>
      </c>
      <c r="H2">
        <v>4</v>
      </c>
      <c r="I2">
        <v>0</v>
      </c>
      <c r="J2">
        <v>1</v>
      </c>
      <c r="K2">
        <v>1</v>
      </c>
      <c r="L2">
        <v>1</v>
      </c>
      <c r="M2">
        <v>0</v>
      </c>
      <c r="N2">
        <v>1</v>
      </c>
      <c r="O2">
        <v>1</v>
      </c>
    </row>
    <row r="3" spans="1:15">
      <c r="A3">
        <v>10002</v>
      </c>
      <c r="B3">
        <v>20002</v>
      </c>
      <c r="C3">
        <v>47</v>
      </c>
      <c r="D3">
        <v>2</v>
      </c>
      <c r="E3">
        <v>1</v>
      </c>
      <c r="F3">
        <v>1</v>
      </c>
      <c r="G3">
        <v>3</v>
      </c>
      <c r="H3">
        <v>4</v>
      </c>
      <c r="I3">
        <v>0</v>
      </c>
      <c r="J3">
        <v>1</v>
      </c>
      <c r="K3">
        <v>1</v>
      </c>
      <c r="L3">
        <v>1</v>
      </c>
      <c r="M3">
        <v>0</v>
      </c>
      <c r="N3">
        <v>1</v>
      </c>
      <c r="O3">
        <v>1</v>
      </c>
    </row>
    <row r="4" spans="1:15">
      <c r="A4">
        <v>10003</v>
      </c>
      <c r="B4">
        <v>20003</v>
      </c>
      <c r="C4">
        <v>38</v>
      </c>
      <c r="D4">
        <v>2</v>
      </c>
      <c r="E4">
        <v>1</v>
      </c>
      <c r="F4">
        <v>1</v>
      </c>
      <c r="G4">
        <v>3</v>
      </c>
      <c r="H4">
        <v>4</v>
      </c>
      <c r="I4">
        <v>0</v>
      </c>
      <c r="J4">
        <v>1</v>
      </c>
      <c r="K4">
        <v>1</v>
      </c>
      <c r="L4">
        <v>0</v>
      </c>
      <c r="M4">
        <v>0</v>
      </c>
      <c r="N4">
        <v>1</v>
      </c>
      <c r="O4">
        <v>1</v>
      </c>
    </row>
    <row r="5" spans="1:15">
      <c r="A5">
        <v>10004</v>
      </c>
      <c r="B5">
        <v>20004</v>
      </c>
      <c r="C5">
        <v>39</v>
      </c>
      <c r="D5">
        <v>1</v>
      </c>
      <c r="E5">
        <v>1</v>
      </c>
      <c r="F5">
        <v>1</v>
      </c>
      <c r="G5">
        <v>3</v>
      </c>
      <c r="H5">
        <v>4</v>
      </c>
      <c r="I5">
        <v>0</v>
      </c>
      <c r="J5">
        <v>1</v>
      </c>
      <c r="K5">
        <v>1</v>
      </c>
      <c r="L5">
        <v>1</v>
      </c>
      <c r="M5">
        <v>0</v>
      </c>
      <c r="N5">
        <v>1</v>
      </c>
      <c r="O5">
        <v>1</v>
      </c>
    </row>
    <row r="6" spans="1:15">
      <c r="A6">
        <v>10005</v>
      </c>
      <c r="B6">
        <v>20005</v>
      </c>
      <c r="C6">
        <v>40</v>
      </c>
      <c r="D6">
        <v>2</v>
      </c>
      <c r="E6">
        <v>1</v>
      </c>
      <c r="F6">
        <v>1</v>
      </c>
      <c r="G6">
        <v>3</v>
      </c>
      <c r="H6">
        <v>4</v>
      </c>
      <c r="I6">
        <v>0</v>
      </c>
      <c r="J6">
        <v>1</v>
      </c>
      <c r="K6">
        <v>1</v>
      </c>
      <c r="L6">
        <v>1</v>
      </c>
      <c r="M6">
        <v>0</v>
      </c>
      <c r="N6">
        <v>1</v>
      </c>
      <c r="O6">
        <v>1</v>
      </c>
    </row>
    <row r="7" spans="1:15">
      <c r="A7">
        <v>10006</v>
      </c>
      <c r="B7">
        <v>20006</v>
      </c>
      <c r="C7">
        <v>41</v>
      </c>
      <c r="D7">
        <v>1</v>
      </c>
      <c r="E7">
        <v>1</v>
      </c>
      <c r="F7">
        <v>1</v>
      </c>
      <c r="G7">
        <v>3</v>
      </c>
      <c r="H7">
        <v>4</v>
      </c>
      <c r="I7">
        <v>0</v>
      </c>
      <c r="J7">
        <v>1</v>
      </c>
      <c r="K7">
        <v>1</v>
      </c>
      <c r="L7">
        <v>0</v>
      </c>
      <c r="M7">
        <v>0</v>
      </c>
      <c r="N7">
        <v>1</v>
      </c>
      <c r="O7">
        <v>1</v>
      </c>
    </row>
    <row r="8" spans="1:15">
      <c r="A8">
        <v>10007</v>
      </c>
      <c r="B8">
        <v>20007</v>
      </c>
      <c r="C8">
        <v>32</v>
      </c>
      <c r="D8">
        <v>1</v>
      </c>
      <c r="E8">
        <v>1</v>
      </c>
      <c r="F8">
        <v>1</v>
      </c>
      <c r="G8">
        <v>3</v>
      </c>
      <c r="H8">
        <v>4</v>
      </c>
      <c r="I8">
        <v>0</v>
      </c>
      <c r="J8">
        <v>1</v>
      </c>
      <c r="K8">
        <v>1</v>
      </c>
      <c r="L8">
        <v>1</v>
      </c>
      <c r="M8">
        <v>0</v>
      </c>
      <c r="N8">
        <v>1</v>
      </c>
      <c r="O8">
        <v>1</v>
      </c>
    </row>
    <row r="9" spans="1:15">
      <c r="A9">
        <v>10008</v>
      </c>
      <c r="B9">
        <v>20007</v>
      </c>
      <c r="C9">
        <v>32</v>
      </c>
      <c r="D9">
        <v>1</v>
      </c>
      <c r="E9">
        <v>1</v>
      </c>
      <c r="F9">
        <v>1</v>
      </c>
      <c r="G9">
        <v>3</v>
      </c>
      <c r="H9">
        <v>4</v>
      </c>
      <c r="I9">
        <v>0</v>
      </c>
      <c r="J9">
        <v>1</v>
      </c>
      <c r="K9">
        <v>1</v>
      </c>
      <c r="L9">
        <v>0</v>
      </c>
      <c r="M9">
        <v>0</v>
      </c>
      <c r="N9">
        <v>1</v>
      </c>
      <c r="O9">
        <v>1</v>
      </c>
    </row>
    <row r="10" spans="1:15">
      <c r="A10">
        <v>10009</v>
      </c>
      <c r="B10">
        <v>20007</v>
      </c>
      <c r="C10">
        <v>32</v>
      </c>
      <c r="D10">
        <v>1</v>
      </c>
      <c r="E10">
        <v>1</v>
      </c>
      <c r="F10">
        <v>1</v>
      </c>
      <c r="G10">
        <v>3</v>
      </c>
      <c r="H10">
        <v>4</v>
      </c>
      <c r="I10">
        <v>0</v>
      </c>
      <c r="J10">
        <v>1</v>
      </c>
      <c r="K10">
        <v>1</v>
      </c>
      <c r="L10">
        <v>1</v>
      </c>
      <c r="M10">
        <v>0</v>
      </c>
      <c r="N10">
        <v>1</v>
      </c>
      <c r="O10">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8F4CC-1DF8-46C3-B8E5-2E140E70CD31}">
  <sheetPr codeName="Sheet3"/>
  <dimension ref="C4:T64"/>
  <sheetViews>
    <sheetView workbookViewId="0">
      <selection activeCell="F12" sqref="F12"/>
    </sheetView>
  </sheetViews>
  <sheetFormatPr defaultRowHeight="14.4"/>
  <cols>
    <col min="4" max="4" width="12.44140625" customWidth="1"/>
    <col min="5" max="5" width="12.5546875" customWidth="1"/>
    <col min="6" max="6" width="13.5546875" customWidth="1"/>
    <col min="7" max="7" width="12.109375" customWidth="1"/>
    <col min="8" max="8" width="16.33203125" bestFit="1" customWidth="1"/>
    <col min="9" max="10" width="15.6640625" bestFit="1" customWidth="1"/>
    <col min="11" max="11" width="17.88671875" bestFit="1" customWidth="1"/>
    <col min="12" max="12" width="11.33203125" customWidth="1"/>
  </cols>
  <sheetData>
    <row r="4" spans="3:20">
      <c r="C4" t="s">
        <v>215</v>
      </c>
      <c r="D4" t="s">
        <v>216</v>
      </c>
      <c r="E4" t="s">
        <v>220</v>
      </c>
      <c r="F4" t="s">
        <v>221</v>
      </c>
      <c r="G4" t="s">
        <v>222</v>
      </c>
      <c r="H4" t="s">
        <v>223</v>
      </c>
      <c r="I4" t="s">
        <v>224</v>
      </c>
      <c r="J4" t="s">
        <v>225</v>
      </c>
      <c r="K4" t="s">
        <v>226</v>
      </c>
      <c r="L4" t="s">
        <v>227</v>
      </c>
      <c r="M4" s="36" t="s">
        <v>179</v>
      </c>
      <c r="N4" s="36" t="s">
        <v>180</v>
      </c>
      <c r="O4" s="36" t="s">
        <v>181</v>
      </c>
      <c r="P4" s="36" t="s">
        <v>182</v>
      </c>
      <c r="Q4" s="36" t="s">
        <v>183</v>
      </c>
      <c r="R4" s="36" t="s">
        <v>184</v>
      </c>
      <c r="S4" s="36" t="s">
        <v>185</v>
      </c>
      <c r="T4" s="36" t="s">
        <v>186</v>
      </c>
    </row>
    <row r="5" spans="3:20">
      <c r="C5">
        <v>1</v>
      </c>
      <c r="D5">
        <v>1</v>
      </c>
      <c r="E5">
        <v>-1002.629</v>
      </c>
      <c r="F5">
        <v>-5.6365999999999996</v>
      </c>
      <c r="G5">
        <v>-5.833400000000001</v>
      </c>
      <c r="H5">
        <v>-4.0420199999999991</v>
      </c>
      <c r="I5">
        <v>-11.1097</v>
      </c>
      <c r="J5">
        <v>-8.1814999999999998</v>
      </c>
      <c r="K5">
        <v>-9.7583400000000005</v>
      </c>
      <c r="L5">
        <v>-15.390199999999998</v>
      </c>
      <c r="M5" s="25">
        <v>0</v>
      </c>
      <c r="N5" s="25">
        <v>0.14605858102299732</v>
      </c>
      <c r="O5" s="25">
        <v>0.11996592943775207</v>
      </c>
      <c r="P5" s="25">
        <v>0.71952248817230346</v>
      </c>
      <c r="Q5" s="25">
        <v>6.1318277735549842E-4</v>
      </c>
      <c r="R5" s="25">
        <v>1.1462808844420285E-2</v>
      </c>
      <c r="S5" s="25">
        <v>2.3685259061670561E-3</v>
      </c>
      <c r="T5" s="25">
        <v>8.4838390040225205E-6</v>
      </c>
    </row>
    <row r="6" spans="3:20">
      <c r="C6">
        <v>1</v>
      </c>
      <c r="D6">
        <v>2</v>
      </c>
      <c r="E6">
        <v>-1002.449</v>
      </c>
      <c r="F6">
        <v>-5.5033999999999992</v>
      </c>
      <c r="G6">
        <v>-2.7434000000000003</v>
      </c>
      <c r="H6">
        <v>-3.7830899999999987</v>
      </c>
      <c r="I6">
        <v>-11.053000000000001</v>
      </c>
      <c r="J6">
        <v>-8.2049000000000003</v>
      </c>
      <c r="K6">
        <v>-9.8811599999999995</v>
      </c>
      <c r="L6">
        <v>-6.2615000000000007</v>
      </c>
      <c r="M6" s="25">
        <v>0</v>
      </c>
      <c r="N6" s="25">
        <v>4.3595388482155925E-2</v>
      </c>
      <c r="O6" s="25">
        <v>0.68880029128646303</v>
      </c>
      <c r="P6" s="25">
        <v>0.24353517209246503</v>
      </c>
      <c r="Q6" s="25">
        <v>1.6954301238043205E-4</v>
      </c>
      <c r="R6" s="25">
        <v>2.9254589548121366E-3</v>
      </c>
      <c r="S6" s="25">
        <v>5.4727239315233698E-4</v>
      </c>
      <c r="T6" s="25">
        <v>2.0426873778571126E-2</v>
      </c>
    </row>
    <row r="7" spans="3:20">
      <c r="C7">
        <v>1</v>
      </c>
      <c r="D7">
        <v>3</v>
      </c>
      <c r="E7">
        <v>-1002.689</v>
      </c>
      <c r="F7">
        <v>-5.6809999999999992</v>
      </c>
      <c r="G7">
        <v>-6.3896000000000015</v>
      </c>
      <c r="H7">
        <v>-4.2913599999999992</v>
      </c>
      <c r="I7">
        <v>-11.1496</v>
      </c>
      <c r="J7">
        <v>-8.1463999999999999</v>
      </c>
      <c r="K7">
        <v>-9.6301799999999993</v>
      </c>
      <c r="L7">
        <v>-16.935799999999997</v>
      </c>
      <c r="M7" s="25">
        <v>0</v>
      </c>
      <c r="N7" s="25">
        <v>0.17811934360319262</v>
      </c>
      <c r="O7" s="25">
        <v>8.7694027476476824E-2</v>
      </c>
      <c r="P7" s="25">
        <v>0.71486505835474756</v>
      </c>
      <c r="Q7" s="25">
        <v>7.511527858569644E-4</v>
      </c>
      <c r="R7" s="25">
        <v>1.5135663727208936E-2</v>
      </c>
      <c r="S7" s="25">
        <v>3.432448295435645E-3</v>
      </c>
      <c r="T7" s="25">
        <v>2.3057570813311476E-6</v>
      </c>
    </row>
    <row r="9" spans="3:20">
      <c r="C9">
        <v>2</v>
      </c>
      <c r="D9">
        <v>1</v>
      </c>
      <c r="E9">
        <v>-3.6289999999999996</v>
      </c>
      <c r="F9">
        <v>-5.6365999999999996</v>
      </c>
      <c r="G9">
        <v>-5.833400000000001</v>
      </c>
      <c r="H9">
        <v>-4.0420199999999991</v>
      </c>
      <c r="I9">
        <v>-11.1097</v>
      </c>
      <c r="J9">
        <v>-8.1814999999999998</v>
      </c>
      <c r="K9">
        <v>-9.7583400000000005</v>
      </c>
      <c r="L9">
        <v>-15.390199999999998</v>
      </c>
      <c r="M9" s="25">
        <v>0.52095085109642703</v>
      </c>
      <c r="N9" s="25">
        <v>6.9969238929130456E-2</v>
      </c>
      <c r="O9" s="25">
        <v>5.7469576394581258E-2</v>
      </c>
      <c r="P9" s="25">
        <v>0.34468663557592333</v>
      </c>
      <c r="Q9" s="25">
        <v>2.9374468761448073E-4</v>
      </c>
      <c r="R9" s="25">
        <v>5.4912488209638895E-3</v>
      </c>
      <c r="S9" s="25">
        <v>1.1346403195053928E-3</v>
      </c>
      <c r="T9" s="25">
        <v>4.0641758543119274E-6</v>
      </c>
    </row>
    <row r="10" spans="3:20">
      <c r="C10">
        <v>2</v>
      </c>
      <c r="D10">
        <v>2</v>
      </c>
      <c r="E10">
        <v>-3.6289999999999996</v>
      </c>
      <c r="F10">
        <v>-5.6365999999999996</v>
      </c>
      <c r="G10">
        <v>-5.833400000000001</v>
      </c>
      <c r="H10">
        <v>-4.0420199999999991</v>
      </c>
      <c r="I10">
        <v>-11.1097</v>
      </c>
      <c r="J10">
        <v>-8.1814999999999998</v>
      </c>
      <c r="K10">
        <v>-9.7583400000000005</v>
      </c>
      <c r="L10">
        <v>-15.390199999999998</v>
      </c>
      <c r="M10" s="25">
        <v>0.52095085109642703</v>
      </c>
      <c r="N10" s="25">
        <v>6.9969238929130456E-2</v>
      </c>
      <c r="O10" s="25">
        <v>5.7469576394581258E-2</v>
      </c>
      <c r="P10" s="25">
        <v>0.34468663557592333</v>
      </c>
      <c r="Q10" s="25">
        <v>2.9374468761448073E-4</v>
      </c>
      <c r="R10" s="25">
        <v>5.4912488209638895E-3</v>
      </c>
      <c r="S10" s="25">
        <v>1.1346403195053928E-3</v>
      </c>
      <c r="T10" s="25">
        <v>4.0641758543119274E-6</v>
      </c>
    </row>
    <row r="11" spans="3:20">
      <c r="C11" t="s">
        <v>1</v>
      </c>
      <c r="D11" t="s">
        <v>211</v>
      </c>
      <c r="E11" t="s">
        <v>217</v>
      </c>
      <c r="F11" t="s">
        <v>218</v>
      </c>
      <c r="G11" t="s">
        <v>219</v>
      </c>
      <c r="K11" t="s">
        <v>178</v>
      </c>
      <c r="L11" s="37" t="s">
        <v>189</v>
      </c>
    </row>
    <row r="12" spans="3:20">
      <c r="C12">
        <v>10001</v>
      </c>
      <c r="D12">
        <v>1</v>
      </c>
      <c r="E12" t="s">
        <v>59</v>
      </c>
      <c r="F12" t="s">
        <v>59</v>
      </c>
      <c r="G12" t="s">
        <v>59</v>
      </c>
      <c r="H12">
        <v>-1002.629</v>
      </c>
      <c r="I12">
        <v>-1002.449</v>
      </c>
      <c r="J12">
        <v>-1002.689</v>
      </c>
      <c r="K12">
        <v>-3007.7669999999998</v>
      </c>
      <c r="L12" s="25">
        <v>0</v>
      </c>
    </row>
    <row r="13" spans="3:20">
      <c r="C13">
        <v>10001</v>
      </c>
      <c r="D13">
        <v>1</v>
      </c>
      <c r="E13" t="s">
        <v>171</v>
      </c>
      <c r="F13" t="s">
        <v>171</v>
      </c>
      <c r="G13" t="s">
        <v>171</v>
      </c>
      <c r="H13">
        <v>-5.6365999999999996</v>
      </c>
      <c r="I13">
        <v>-5.5033999999999992</v>
      </c>
      <c r="J13">
        <v>-5.6809999999999992</v>
      </c>
      <c r="K13">
        <v>-16.820999999999998</v>
      </c>
      <c r="L13" s="25">
        <v>4.6296650438041051E-3</v>
      </c>
    </row>
    <row r="14" spans="3:20">
      <c r="C14">
        <v>10001</v>
      </c>
      <c r="D14">
        <v>1</v>
      </c>
      <c r="E14" t="s">
        <v>171</v>
      </c>
      <c r="F14" t="s">
        <v>171</v>
      </c>
      <c r="G14" t="s">
        <v>149</v>
      </c>
      <c r="H14">
        <v>-5.6365999999999996</v>
      </c>
      <c r="I14">
        <v>-5.5033999999999992</v>
      </c>
      <c r="J14">
        <v>-16.935799999999997</v>
      </c>
      <c r="K14">
        <v>-28.075799999999994</v>
      </c>
      <c r="L14" s="25">
        <v>5.993107061254225E-8</v>
      </c>
    </row>
    <row r="15" spans="3:20">
      <c r="C15">
        <v>10001</v>
      </c>
      <c r="D15">
        <v>1</v>
      </c>
      <c r="E15" t="s">
        <v>171</v>
      </c>
      <c r="F15" t="s">
        <v>171</v>
      </c>
      <c r="G15" t="s">
        <v>172</v>
      </c>
      <c r="H15">
        <v>-5.6365999999999996</v>
      </c>
      <c r="I15">
        <v>-5.5033999999999992</v>
      </c>
      <c r="J15">
        <v>-4.2913599999999992</v>
      </c>
      <c r="K15">
        <v>-15.431359999999998</v>
      </c>
      <c r="L15" s="25">
        <v>1.8580720682841299E-2</v>
      </c>
    </row>
    <row r="16" spans="3:20">
      <c r="C16">
        <v>10001</v>
      </c>
      <c r="D16">
        <v>1</v>
      </c>
      <c r="E16" t="s">
        <v>171</v>
      </c>
      <c r="F16" t="s">
        <v>149</v>
      </c>
      <c r="G16" t="s">
        <v>171</v>
      </c>
      <c r="H16">
        <v>-5.6365999999999996</v>
      </c>
      <c r="I16">
        <v>-6.2615000000000007</v>
      </c>
      <c r="J16">
        <v>-5.6809999999999992</v>
      </c>
      <c r="K16">
        <v>-17.579099999999997</v>
      </c>
      <c r="L16" s="25">
        <v>2.1692565837682135E-3</v>
      </c>
    </row>
    <row r="17" spans="3:12">
      <c r="C17">
        <v>10001</v>
      </c>
      <c r="D17">
        <v>1</v>
      </c>
      <c r="E17" t="s">
        <v>171</v>
      </c>
      <c r="F17" t="s">
        <v>149</v>
      </c>
      <c r="G17" t="s">
        <v>149</v>
      </c>
      <c r="H17">
        <v>-5.6365999999999996</v>
      </c>
      <c r="I17">
        <v>-6.2615000000000007</v>
      </c>
      <c r="J17">
        <v>-16.935799999999997</v>
      </c>
      <c r="K17">
        <v>-28.833899999999996</v>
      </c>
      <c r="L17" s="25">
        <v>2.808105300674436E-8</v>
      </c>
    </row>
    <row r="18" spans="3:12">
      <c r="C18">
        <v>10001</v>
      </c>
      <c r="D18">
        <v>1</v>
      </c>
      <c r="E18" t="s">
        <v>171</v>
      </c>
      <c r="F18" t="s">
        <v>149</v>
      </c>
      <c r="G18" t="s">
        <v>172</v>
      </c>
      <c r="H18">
        <v>-5.6365999999999996</v>
      </c>
      <c r="I18">
        <v>-6.2615000000000007</v>
      </c>
      <c r="J18">
        <v>-4.2913599999999992</v>
      </c>
      <c r="K18">
        <v>-16.189459999999997</v>
      </c>
      <c r="L18" s="25">
        <v>8.7061051482231547E-3</v>
      </c>
    </row>
    <row r="19" spans="3:12">
      <c r="C19">
        <v>10001</v>
      </c>
      <c r="D19">
        <v>1</v>
      </c>
      <c r="E19" t="s">
        <v>171</v>
      </c>
      <c r="F19" t="s">
        <v>172</v>
      </c>
      <c r="G19" t="s">
        <v>171</v>
      </c>
      <c r="H19">
        <v>-5.6365999999999996</v>
      </c>
      <c r="I19">
        <v>-3.7830899999999987</v>
      </c>
      <c r="J19">
        <v>-5.6809999999999992</v>
      </c>
      <c r="K19">
        <v>-15.100689999999998</v>
      </c>
      <c r="L19" s="25">
        <v>2.5862512353452112E-2</v>
      </c>
    </row>
    <row r="20" spans="3:12">
      <c r="C20">
        <v>10001</v>
      </c>
      <c r="D20">
        <v>1</v>
      </c>
      <c r="E20" t="s">
        <v>171</v>
      </c>
      <c r="F20" t="s">
        <v>172</v>
      </c>
      <c r="G20" t="s">
        <v>149</v>
      </c>
      <c r="H20">
        <v>-5.6365999999999996</v>
      </c>
      <c r="I20">
        <v>-3.7830899999999987</v>
      </c>
      <c r="J20">
        <v>-16.935799999999997</v>
      </c>
      <c r="K20">
        <v>-26.355489999999996</v>
      </c>
      <c r="L20" s="25">
        <v>3.3479053871225718E-7</v>
      </c>
    </row>
    <row r="21" spans="3:12">
      <c r="C21">
        <v>10001</v>
      </c>
      <c r="D21">
        <v>1</v>
      </c>
      <c r="E21" t="s">
        <v>171</v>
      </c>
      <c r="F21" t="s">
        <v>172</v>
      </c>
      <c r="G21" t="s">
        <v>172</v>
      </c>
      <c r="H21">
        <v>-5.6365999999999996</v>
      </c>
      <c r="I21">
        <v>-3.7830899999999987</v>
      </c>
      <c r="J21">
        <v>-4.2913599999999992</v>
      </c>
      <c r="K21">
        <v>-13.711049999999998</v>
      </c>
      <c r="L21" s="25">
        <v>0.10379673554118993</v>
      </c>
    </row>
    <row r="22" spans="3:12">
      <c r="C22">
        <v>10001</v>
      </c>
      <c r="D22">
        <v>1</v>
      </c>
      <c r="E22" t="s">
        <v>144</v>
      </c>
      <c r="F22" t="s">
        <v>144</v>
      </c>
      <c r="G22" t="s">
        <v>144</v>
      </c>
      <c r="H22">
        <v>-5.833400000000001</v>
      </c>
      <c r="I22">
        <v>-2.7434000000000003</v>
      </c>
      <c r="J22">
        <v>-6.3896000000000015</v>
      </c>
      <c r="K22">
        <v>-14.966400000000004</v>
      </c>
      <c r="L22" s="25">
        <v>2.9579587759656828E-2</v>
      </c>
    </row>
    <row r="23" spans="3:12">
      <c r="C23">
        <v>10001</v>
      </c>
      <c r="D23">
        <v>1</v>
      </c>
      <c r="E23" t="s">
        <v>149</v>
      </c>
      <c r="F23" t="s">
        <v>171</v>
      </c>
      <c r="G23" t="s">
        <v>171</v>
      </c>
      <c r="H23">
        <v>-15.390199999999998</v>
      </c>
      <c r="I23">
        <v>-5.5033999999999992</v>
      </c>
      <c r="J23">
        <v>-5.6809999999999992</v>
      </c>
      <c r="K23">
        <v>-26.574599999999997</v>
      </c>
      <c r="L23" s="25">
        <v>2.689149285107773E-7</v>
      </c>
    </row>
    <row r="24" spans="3:12">
      <c r="C24">
        <v>10001</v>
      </c>
      <c r="D24">
        <v>1</v>
      </c>
      <c r="E24" t="s">
        <v>149</v>
      </c>
      <c r="F24" t="s">
        <v>171</v>
      </c>
      <c r="G24" t="s">
        <v>149</v>
      </c>
      <c r="H24">
        <v>-15.390199999999998</v>
      </c>
      <c r="I24">
        <v>-5.5033999999999992</v>
      </c>
      <c r="J24">
        <v>-16.935799999999997</v>
      </c>
      <c r="K24">
        <v>-37.829399999999993</v>
      </c>
      <c r="L24" s="25">
        <v>3.4811070383838504E-12</v>
      </c>
    </row>
    <row r="25" spans="3:12">
      <c r="C25">
        <v>10001</v>
      </c>
      <c r="D25">
        <v>1</v>
      </c>
      <c r="E25" t="s">
        <v>149</v>
      </c>
      <c r="F25" t="s">
        <v>171</v>
      </c>
      <c r="G25" t="s">
        <v>172</v>
      </c>
      <c r="H25">
        <v>-15.390199999999998</v>
      </c>
      <c r="I25">
        <v>-5.5033999999999992</v>
      </c>
      <c r="J25">
        <v>-4.2913599999999992</v>
      </c>
      <c r="K25">
        <v>-25.184959999999997</v>
      </c>
      <c r="L25" s="25">
        <v>1.0792645098141599E-6</v>
      </c>
    </row>
    <row r="26" spans="3:12">
      <c r="C26">
        <v>10001</v>
      </c>
      <c r="D26">
        <v>1</v>
      </c>
      <c r="E26" t="s">
        <v>149</v>
      </c>
      <c r="F26" t="s">
        <v>149</v>
      </c>
      <c r="G26" t="s">
        <v>171</v>
      </c>
      <c r="H26">
        <v>-15.390199999999998</v>
      </c>
      <c r="I26">
        <v>-6.2615000000000007</v>
      </c>
      <c r="J26">
        <v>-5.6809999999999992</v>
      </c>
      <c r="K26">
        <v>-27.332699999999996</v>
      </c>
      <c r="L26" s="25">
        <v>1.2600165965057347E-7</v>
      </c>
    </row>
    <row r="27" spans="3:12">
      <c r="C27">
        <v>10001</v>
      </c>
      <c r="D27">
        <v>1</v>
      </c>
      <c r="E27" t="s">
        <v>149</v>
      </c>
      <c r="F27" t="s">
        <v>149</v>
      </c>
      <c r="G27" t="s">
        <v>149</v>
      </c>
      <c r="H27">
        <v>-15.390199999999998</v>
      </c>
      <c r="I27">
        <v>-6.2615000000000007</v>
      </c>
      <c r="J27">
        <v>-16.935799999999997</v>
      </c>
      <c r="K27">
        <v>-38.587499999999991</v>
      </c>
      <c r="L27" s="25">
        <v>1.6310930251686598E-12</v>
      </c>
    </row>
    <row r="28" spans="3:12">
      <c r="C28">
        <v>10001</v>
      </c>
      <c r="D28">
        <v>1</v>
      </c>
      <c r="E28" t="s">
        <v>149</v>
      </c>
      <c r="F28" t="s">
        <v>149</v>
      </c>
      <c r="G28" t="s">
        <v>172</v>
      </c>
      <c r="H28">
        <v>-15.390199999999998</v>
      </c>
      <c r="I28">
        <v>-6.2615000000000007</v>
      </c>
      <c r="J28">
        <v>-4.2913599999999992</v>
      </c>
      <c r="K28">
        <v>-25.943059999999996</v>
      </c>
      <c r="L28" s="25">
        <v>5.0569568670523529E-7</v>
      </c>
    </row>
    <row r="29" spans="3:12">
      <c r="C29">
        <v>10001</v>
      </c>
      <c r="D29">
        <v>1</v>
      </c>
      <c r="E29" t="s">
        <v>149</v>
      </c>
      <c r="F29" t="s">
        <v>172</v>
      </c>
      <c r="G29" t="s">
        <v>171</v>
      </c>
      <c r="H29">
        <v>-15.390199999999998</v>
      </c>
      <c r="I29">
        <v>-3.7830899999999987</v>
      </c>
      <c r="J29">
        <v>-5.6809999999999992</v>
      </c>
      <c r="K29">
        <v>-24.854289999999999</v>
      </c>
      <c r="L29" s="25">
        <v>1.5022286914569141E-6</v>
      </c>
    </row>
    <row r="30" spans="3:12">
      <c r="C30">
        <v>10001</v>
      </c>
      <c r="D30">
        <v>1</v>
      </c>
      <c r="E30" t="s">
        <v>149</v>
      </c>
      <c r="F30" t="s">
        <v>172</v>
      </c>
      <c r="G30" t="s">
        <v>149</v>
      </c>
      <c r="H30">
        <v>-15.390199999999998</v>
      </c>
      <c r="I30">
        <v>-3.7830899999999987</v>
      </c>
      <c r="J30">
        <v>-16.935799999999997</v>
      </c>
      <c r="K30">
        <v>-36.109089999999995</v>
      </c>
      <c r="L30" s="25">
        <v>1.944636878306756E-11</v>
      </c>
    </row>
    <row r="31" spans="3:12">
      <c r="C31">
        <v>10001</v>
      </c>
      <c r="D31">
        <v>1</v>
      </c>
      <c r="E31" t="s">
        <v>149</v>
      </c>
      <c r="F31" t="s">
        <v>172</v>
      </c>
      <c r="G31" t="s">
        <v>172</v>
      </c>
      <c r="H31">
        <v>-15.390199999999998</v>
      </c>
      <c r="I31">
        <v>-3.7830899999999987</v>
      </c>
      <c r="J31">
        <v>-4.2913599999999992</v>
      </c>
      <c r="K31">
        <v>-23.464649999999999</v>
      </c>
      <c r="L31" s="25">
        <v>6.0290520920226114E-6</v>
      </c>
    </row>
    <row r="32" spans="3:12">
      <c r="C32">
        <v>10001</v>
      </c>
      <c r="D32">
        <v>1</v>
      </c>
      <c r="E32" t="s">
        <v>172</v>
      </c>
      <c r="F32" t="s">
        <v>171</v>
      </c>
      <c r="G32" t="s">
        <v>171</v>
      </c>
      <c r="H32">
        <v>-4.0420199999999991</v>
      </c>
      <c r="I32">
        <v>-5.5033999999999992</v>
      </c>
      <c r="J32">
        <v>-5.6809999999999992</v>
      </c>
      <c r="K32">
        <v>-15.226419999999997</v>
      </c>
      <c r="L32" s="25">
        <v>2.280693190629976E-2</v>
      </c>
    </row>
    <row r="33" spans="3:12">
      <c r="C33">
        <v>10001</v>
      </c>
      <c r="D33">
        <v>1</v>
      </c>
      <c r="E33" t="s">
        <v>172</v>
      </c>
      <c r="F33" t="s">
        <v>171</v>
      </c>
      <c r="G33" t="s">
        <v>149</v>
      </c>
      <c r="H33">
        <v>-4.0420199999999991</v>
      </c>
      <c r="I33">
        <v>-5.5033999999999992</v>
      </c>
      <c r="J33">
        <v>-16.935799999999997</v>
      </c>
      <c r="K33">
        <v>-26.481219999999993</v>
      </c>
      <c r="L33" s="25">
        <v>2.952360124543232E-7</v>
      </c>
    </row>
    <row r="34" spans="3:12">
      <c r="C34">
        <v>10001</v>
      </c>
      <c r="D34">
        <v>1</v>
      </c>
      <c r="E34" t="s">
        <v>172</v>
      </c>
      <c r="F34" t="s">
        <v>171</v>
      </c>
      <c r="G34" t="s">
        <v>172</v>
      </c>
      <c r="H34">
        <v>-4.0420199999999991</v>
      </c>
      <c r="I34">
        <v>-5.5033999999999992</v>
      </c>
      <c r="J34">
        <v>-4.2913599999999992</v>
      </c>
      <c r="K34">
        <v>-13.836779999999997</v>
      </c>
      <c r="L34" s="25">
        <v>9.1533453797196102E-2</v>
      </c>
    </row>
    <row r="35" spans="3:12">
      <c r="C35">
        <v>10001</v>
      </c>
      <c r="D35">
        <v>1</v>
      </c>
      <c r="E35" t="s">
        <v>172</v>
      </c>
      <c r="F35" t="s">
        <v>149</v>
      </c>
      <c r="G35" t="s">
        <v>171</v>
      </c>
      <c r="H35">
        <v>-4.0420199999999991</v>
      </c>
      <c r="I35">
        <v>-6.2615000000000007</v>
      </c>
      <c r="J35">
        <v>-5.6809999999999992</v>
      </c>
      <c r="K35">
        <v>-15.984519999999998</v>
      </c>
      <c r="L35" s="25">
        <v>1.0686321089147759E-2</v>
      </c>
    </row>
    <row r="36" spans="3:12">
      <c r="C36">
        <v>10001</v>
      </c>
      <c r="D36">
        <v>1</v>
      </c>
      <c r="E36" t="s">
        <v>172</v>
      </c>
      <c r="F36" t="s">
        <v>149</v>
      </c>
      <c r="G36" t="s">
        <v>149</v>
      </c>
      <c r="H36">
        <v>-4.0420199999999991</v>
      </c>
      <c r="I36">
        <v>-6.2615000000000007</v>
      </c>
      <c r="J36">
        <v>-16.935799999999997</v>
      </c>
      <c r="K36">
        <v>-27.239319999999996</v>
      </c>
      <c r="L36" s="25">
        <v>1.3833455719201952E-7</v>
      </c>
    </row>
    <row r="37" spans="3:12">
      <c r="C37">
        <v>10001</v>
      </c>
      <c r="D37">
        <v>1</v>
      </c>
      <c r="E37" t="s">
        <v>172</v>
      </c>
      <c r="F37" t="s">
        <v>149</v>
      </c>
      <c r="G37" t="s">
        <v>172</v>
      </c>
      <c r="H37">
        <v>-4.0420199999999991</v>
      </c>
      <c r="I37">
        <v>-6.2615000000000007</v>
      </c>
      <c r="J37">
        <v>-4.2913599999999992</v>
      </c>
      <c r="K37">
        <v>-14.594879999999998</v>
      </c>
      <c r="L37" s="25">
        <v>4.2888534139277255E-2</v>
      </c>
    </row>
    <row r="38" spans="3:12">
      <c r="C38">
        <v>10001</v>
      </c>
      <c r="D38">
        <v>1</v>
      </c>
      <c r="E38" t="s">
        <v>172</v>
      </c>
      <c r="F38" t="s">
        <v>172</v>
      </c>
      <c r="G38" t="s">
        <v>171</v>
      </c>
      <c r="H38">
        <v>-4.0420199999999991</v>
      </c>
      <c r="I38">
        <v>-3.7830899999999987</v>
      </c>
      <c r="J38">
        <v>-5.6809999999999992</v>
      </c>
      <c r="K38">
        <v>-13.506109999999996</v>
      </c>
      <c r="L38" s="25">
        <v>0.12740544998183193</v>
      </c>
    </row>
    <row r="39" spans="3:12">
      <c r="C39">
        <v>10001</v>
      </c>
      <c r="D39">
        <v>1</v>
      </c>
      <c r="E39" t="s">
        <v>172</v>
      </c>
      <c r="F39" t="s">
        <v>172</v>
      </c>
      <c r="G39" t="s">
        <v>149</v>
      </c>
      <c r="H39">
        <v>-4.0420199999999991</v>
      </c>
      <c r="I39">
        <v>-3.7830899999999987</v>
      </c>
      <c r="J39">
        <v>-16.935799999999997</v>
      </c>
      <c r="K39">
        <v>-24.760909999999996</v>
      </c>
      <c r="L39" s="25">
        <v>1.6492651081750579E-6</v>
      </c>
    </row>
    <row r="40" spans="3:12">
      <c r="C40">
        <v>10001</v>
      </c>
      <c r="D40">
        <v>1</v>
      </c>
      <c r="E40" s="11" t="s">
        <v>172</v>
      </c>
      <c r="F40" s="11" t="s">
        <v>172</v>
      </c>
      <c r="G40" s="11" t="s">
        <v>172</v>
      </c>
      <c r="H40" s="11">
        <v>-4.0420199999999991</v>
      </c>
      <c r="I40" s="11">
        <v>-3.7830899999999987</v>
      </c>
      <c r="J40" s="11">
        <v>-4.2913599999999992</v>
      </c>
      <c r="K40" s="11">
        <v>-12.116469999999996</v>
      </c>
      <c r="L40" s="38">
        <v>0.5113296657934836</v>
      </c>
    </row>
    <row r="41" spans="3:12">
      <c r="C41">
        <v>10001</v>
      </c>
      <c r="D41">
        <v>1</v>
      </c>
      <c r="E41" t="s">
        <v>173</v>
      </c>
      <c r="F41" t="s">
        <v>171</v>
      </c>
      <c r="G41" t="s">
        <v>174</v>
      </c>
      <c r="H41">
        <v>-8.1814999999999998</v>
      </c>
      <c r="I41">
        <v>-5.5033999999999992</v>
      </c>
      <c r="J41">
        <v>-11.1496</v>
      </c>
      <c r="K41">
        <v>-24.834499999999998</v>
      </c>
      <c r="L41" s="25">
        <v>1.5322539169398629E-6</v>
      </c>
    </row>
    <row r="42" spans="3:12">
      <c r="C42">
        <v>10001</v>
      </c>
      <c r="D42">
        <v>1</v>
      </c>
      <c r="E42" t="s">
        <v>173</v>
      </c>
      <c r="F42" t="s">
        <v>149</v>
      </c>
      <c r="G42" t="s">
        <v>174</v>
      </c>
      <c r="H42">
        <v>-8.1814999999999998</v>
      </c>
      <c r="I42">
        <v>-6.2615000000000007</v>
      </c>
      <c r="J42">
        <v>-11.1496</v>
      </c>
      <c r="K42">
        <v>-25.592600000000001</v>
      </c>
      <c r="L42" s="25">
        <v>7.1794651791812454E-7</v>
      </c>
    </row>
    <row r="43" spans="3:12">
      <c r="C43">
        <v>10001</v>
      </c>
      <c r="D43">
        <v>1</v>
      </c>
      <c r="E43" t="s">
        <v>173</v>
      </c>
      <c r="F43" t="s">
        <v>172</v>
      </c>
      <c r="G43" t="s">
        <v>174</v>
      </c>
      <c r="H43">
        <v>-8.1814999999999998</v>
      </c>
      <c r="I43">
        <v>-3.7830899999999987</v>
      </c>
      <c r="J43">
        <v>-11.1496</v>
      </c>
      <c r="K43">
        <v>-23.114189999999997</v>
      </c>
      <c r="L43" s="25">
        <v>8.5595686686916689E-6</v>
      </c>
    </row>
    <row r="44" spans="3:12">
      <c r="C44">
        <v>10001</v>
      </c>
      <c r="D44">
        <v>1</v>
      </c>
      <c r="E44" t="s">
        <v>175</v>
      </c>
      <c r="F44" t="s">
        <v>171</v>
      </c>
      <c r="G44" t="s">
        <v>174</v>
      </c>
      <c r="H44">
        <v>-9.7583400000000005</v>
      </c>
      <c r="I44">
        <v>-5.5033999999999992</v>
      </c>
      <c r="J44">
        <v>-11.1496</v>
      </c>
      <c r="K44">
        <v>-26.411339999999999</v>
      </c>
      <c r="L44" s="25">
        <v>3.1660504387321928E-7</v>
      </c>
    </row>
    <row r="45" spans="3:12">
      <c r="C45">
        <v>10001</v>
      </c>
      <c r="D45">
        <v>1</v>
      </c>
      <c r="E45" t="s">
        <v>175</v>
      </c>
      <c r="F45" t="s">
        <v>149</v>
      </c>
      <c r="G45" t="s">
        <v>174</v>
      </c>
      <c r="H45">
        <v>-9.7583400000000005</v>
      </c>
      <c r="I45">
        <v>-6.2615000000000007</v>
      </c>
      <c r="J45">
        <v>-11.1496</v>
      </c>
      <c r="K45">
        <v>-27.169440000000002</v>
      </c>
      <c r="L45" s="25">
        <v>1.4834714161348363E-7</v>
      </c>
    </row>
    <row r="46" spans="3:12">
      <c r="C46">
        <v>10001</v>
      </c>
      <c r="D46">
        <v>1</v>
      </c>
      <c r="E46" t="s">
        <v>175</v>
      </c>
      <c r="F46" t="s">
        <v>172</v>
      </c>
      <c r="G46" t="s">
        <v>174</v>
      </c>
      <c r="H46">
        <v>-9.7583400000000005</v>
      </c>
      <c r="I46">
        <v>-3.7830899999999987</v>
      </c>
      <c r="J46">
        <v>-11.1496</v>
      </c>
      <c r="K46">
        <v>-24.691029999999998</v>
      </c>
      <c r="L46" s="25">
        <v>1.7686380722714899E-6</v>
      </c>
    </row>
    <row r="51" spans="3:12">
      <c r="C51" t="s">
        <v>1</v>
      </c>
      <c r="D51" t="s">
        <v>210</v>
      </c>
      <c r="E51" t="s">
        <v>217</v>
      </c>
      <c r="F51" t="s">
        <v>218</v>
      </c>
    </row>
    <row r="52" spans="3:12">
      <c r="C52" s="11">
        <v>10005</v>
      </c>
      <c r="D52" s="11">
        <v>1</v>
      </c>
      <c r="E52" s="11" t="s">
        <v>59</v>
      </c>
      <c r="F52" s="11" t="s">
        <v>59</v>
      </c>
      <c r="G52" s="11"/>
      <c r="H52" s="11">
        <v>-3.6289999999999996</v>
      </c>
      <c r="I52" s="11">
        <v>-3.6289999999999996</v>
      </c>
      <c r="J52" s="11"/>
      <c r="K52" s="11"/>
      <c r="L52" s="38">
        <v>0.60762895829772101</v>
      </c>
    </row>
    <row r="53" spans="3:12">
      <c r="C53">
        <v>10005</v>
      </c>
      <c r="D53">
        <v>1</v>
      </c>
      <c r="E53" t="s">
        <v>171</v>
      </c>
      <c r="F53" t="s">
        <v>171</v>
      </c>
      <c r="H53">
        <v>-5.6365999999999996</v>
      </c>
      <c r="I53">
        <v>-5.6365999999999996</v>
      </c>
      <c r="L53" s="25">
        <v>1.0961229213203633E-2</v>
      </c>
    </row>
    <row r="54" spans="3:12">
      <c r="C54">
        <v>10005</v>
      </c>
      <c r="D54">
        <v>1</v>
      </c>
      <c r="E54" t="s">
        <v>171</v>
      </c>
      <c r="F54" t="s">
        <v>149</v>
      </c>
      <c r="H54">
        <v>-5.6365999999999996</v>
      </c>
      <c r="I54">
        <v>-15.390199999999998</v>
      </c>
      <c r="L54" s="25">
        <v>6.3668497447860337E-7</v>
      </c>
    </row>
    <row r="55" spans="3:12">
      <c r="C55">
        <v>10005</v>
      </c>
      <c r="D55">
        <v>1</v>
      </c>
      <c r="E55" t="s">
        <v>171</v>
      </c>
      <c r="F55" t="s">
        <v>172</v>
      </c>
      <c r="H55">
        <v>-5.6365999999999996</v>
      </c>
      <c r="I55">
        <v>-4.0420199999999991</v>
      </c>
      <c r="L55" s="25">
        <v>5.3997860732806997E-2</v>
      </c>
    </row>
    <row r="56" spans="3:12">
      <c r="C56">
        <v>10005</v>
      </c>
      <c r="D56">
        <v>1</v>
      </c>
      <c r="E56" t="s">
        <v>144</v>
      </c>
      <c r="F56" t="s">
        <v>144</v>
      </c>
      <c r="H56">
        <v>-5.833400000000001</v>
      </c>
      <c r="I56">
        <v>-5.833400000000001</v>
      </c>
      <c r="L56" s="25">
        <v>7.394706672476427E-3</v>
      </c>
    </row>
    <row r="57" spans="3:12">
      <c r="C57">
        <v>10005</v>
      </c>
      <c r="D57">
        <v>1</v>
      </c>
      <c r="E57" t="s">
        <v>149</v>
      </c>
      <c r="F57" t="s">
        <v>171</v>
      </c>
      <c r="H57">
        <v>-15.390199999999998</v>
      </c>
      <c r="I57">
        <v>-5.6365999999999996</v>
      </c>
      <c r="L57" s="25">
        <v>6.3668497447860337E-7</v>
      </c>
    </row>
    <row r="58" spans="3:12">
      <c r="C58">
        <v>10005</v>
      </c>
      <c r="D58">
        <v>1</v>
      </c>
      <c r="E58" t="s">
        <v>149</v>
      </c>
      <c r="F58" t="s">
        <v>149</v>
      </c>
      <c r="H58">
        <v>-15.390199999999998</v>
      </c>
      <c r="I58">
        <v>-15.390199999999998</v>
      </c>
      <c r="L58" s="25">
        <v>3.6981961497395159E-11</v>
      </c>
    </row>
    <row r="59" spans="3:12">
      <c r="C59">
        <v>10005</v>
      </c>
      <c r="D59">
        <v>1</v>
      </c>
      <c r="E59" t="s">
        <v>149</v>
      </c>
      <c r="F59" t="s">
        <v>172</v>
      </c>
      <c r="H59">
        <v>-15.390199999999998</v>
      </c>
      <c r="I59">
        <v>-4.0420199999999991</v>
      </c>
      <c r="L59" s="25">
        <v>3.1364754731297411E-6</v>
      </c>
    </row>
    <row r="60" spans="3:12">
      <c r="C60">
        <v>10005</v>
      </c>
      <c r="D60">
        <v>1</v>
      </c>
      <c r="E60" t="s">
        <v>172</v>
      </c>
      <c r="F60" t="s">
        <v>171</v>
      </c>
      <c r="H60">
        <v>-4.0420199999999991</v>
      </c>
      <c r="I60">
        <v>-5.6365999999999996</v>
      </c>
      <c r="L60" s="25">
        <v>5.3997860732806997E-2</v>
      </c>
    </row>
    <row r="61" spans="3:12">
      <c r="C61">
        <v>10005</v>
      </c>
      <c r="D61">
        <v>1</v>
      </c>
      <c r="E61" t="s">
        <v>172</v>
      </c>
      <c r="F61" t="s">
        <v>149</v>
      </c>
      <c r="H61">
        <v>-4.0420199999999991</v>
      </c>
      <c r="I61">
        <v>-15.390199999999998</v>
      </c>
      <c r="L61" s="25">
        <v>3.1364754731297411E-6</v>
      </c>
    </row>
    <row r="62" spans="3:12">
      <c r="C62">
        <v>10005</v>
      </c>
      <c r="D62">
        <v>1</v>
      </c>
      <c r="E62" t="s">
        <v>172</v>
      </c>
      <c r="F62" t="s">
        <v>172</v>
      </c>
      <c r="H62">
        <v>-4.0420199999999991</v>
      </c>
      <c r="I62">
        <v>-4.0420199999999991</v>
      </c>
      <c r="L62" s="25">
        <v>0.26600748027487242</v>
      </c>
    </row>
    <row r="63" spans="3:12">
      <c r="C63">
        <v>10005</v>
      </c>
      <c r="D63">
        <v>1</v>
      </c>
      <c r="E63" t="s">
        <v>173</v>
      </c>
      <c r="F63" t="s">
        <v>174</v>
      </c>
      <c r="H63">
        <v>-8.1814999999999998</v>
      </c>
      <c r="I63">
        <v>-11.1097</v>
      </c>
      <c r="L63" s="25">
        <v>3.6114873965868262E-6</v>
      </c>
    </row>
    <row r="64" spans="3:12">
      <c r="C64">
        <v>10005</v>
      </c>
      <c r="D64">
        <v>1</v>
      </c>
      <c r="E64" t="s">
        <v>175</v>
      </c>
      <c r="F64" t="s">
        <v>174</v>
      </c>
      <c r="H64">
        <v>-9.7583400000000005</v>
      </c>
      <c r="I64">
        <v>-11.1097</v>
      </c>
      <c r="L64" s="25">
        <v>7.4623083876823697E-7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56056-A6AB-4054-90F1-1EFF870DB56D}">
  <sheetPr codeName="Sheet4"/>
  <dimension ref="A1:G19"/>
  <sheetViews>
    <sheetView workbookViewId="0">
      <selection activeCell="I31" sqref="I31"/>
    </sheetView>
  </sheetViews>
  <sheetFormatPr defaultRowHeight="14.4"/>
  <cols>
    <col min="1" max="1" width="8.5546875" bestFit="1" customWidth="1"/>
    <col min="2" max="2" width="11.33203125" customWidth="1"/>
    <col min="3" max="3" width="10.6640625" customWidth="1"/>
    <col min="4" max="5" width="12.33203125" customWidth="1"/>
    <col min="6" max="6" width="21.109375" bestFit="1" customWidth="1"/>
    <col min="7" max="7" width="22" bestFit="1" customWidth="1"/>
  </cols>
  <sheetData>
    <row r="1" spans="1:7">
      <c r="A1" s="1" t="s">
        <v>32</v>
      </c>
      <c r="B1" s="1" t="s">
        <v>69</v>
      </c>
      <c r="C1" s="4" t="s">
        <v>134</v>
      </c>
      <c r="D1" s="4" t="s">
        <v>135</v>
      </c>
      <c r="E1" s="4" t="s">
        <v>39</v>
      </c>
      <c r="F1" s="4" t="s">
        <v>136</v>
      </c>
      <c r="G1" s="4" t="s">
        <v>137</v>
      </c>
    </row>
    <row r="2" spans="1:7">
      <c r="A2" t="s">
        <v>11</v>
      </c>
      <c r="B2">
        <v>7</v>
      </c>
      <c r="C2">
        <v>1</v>
      </c>
      <c r="D2">
        <v>1</v>
      </c>
      <c r="E2">
        <v>1</v>
      </c>
    </row>
    <row r="3" spans="1:7">
      <c r="A3" t="s">
        <v>7</v>
      </c>
      <c r="B3">
        <v>6</v>
      </c>
      <c r="C3">
        <v>1</v>
      </c>
      <c r="D3">
        <v>1</v>
      </c>
      <c r="E3">
        <v>1</v>
      </c>
    </row>
    <row r="4" spans="1:7">
      <c r="A4" t="s">
        <v>15</v>
      </c>
      <c r="B4">
        <v>3</v>
      </c>
      <c r="C4">
        <v>1</v>
      </c>
      <c r="D4">
        <v>1</v>
      </c>
      <c r="E4">
        <v>1</v>
      </c>
    </row>
    <row r="5" spans="1:7">
      <c r="A5" t="s">
        <v>14</v>
      </c>
      <c r="B5">
        <v>4</v>
      </c>
      <c r="C5">
        <v>1</v>
      </c>
      <c r="D5">
        <v>1</v>
      </c>
      <c r="E5">
        <v>1</v>
      </c>
    </row>
    <row r="6" spans="1:7">
      <c r="A6" t="s">
        <v>16</v>
      </c>
      <c r="B6">
        <v>5</v>
      </c>
      <c r="C6">
        <v>1</v>
      </c>
      <c r="D6">
        <v>1</v>
      </c>
      <c r="E6">
        <v>1</v>
      </c>
    </row>
    <row r="7" spans="1:7">
      <c r="A7" t="s">
        <v>14</v>
      </c>
      <c r="B7">
        <v>1</v>
      </c>
      <c r="C7">
        <v>1</v>
      </c>
      <c r="D7">
        <v>1</v>
      </c>
      <c r="E7">
        <v>1</v>
      </c>
    </row>
    <row r="8" spans="1:7">
      <c r="A8" t="s">
        <v>8</v>
      </c>
      <c r="B8">
        <v>2</v>
      </c>
      <c r="C8">
        <v>1</v>
      </c>
      <c r="D8">
        <v>1</v>
      </c>
      <c r="E8">
        <v>1</v>
      </c>
    </row>
    <row r="9" spans="1:7">
      <c r="A9" t="s">
        <v>19</v>
      </c>
      <c r="B9">
        <v>9</v>
      </c>
      <c r="C9">
        <v>1</v>
      </c>
      <c r="D9">
        <v>1</v>
      </c>
      <c r="E9">
        <v>1</v>
      </c>
    </row>
    <row r="10" spans="1:7">
      <c r="A10" t="s">
        <v>18</v>
      </c>
      <c r="B10">
        <v>8</v>
      </c>
      <c r="C10">
        <v>1</v>
      </c>
      <c r="D10">
        <v>1</v>
      </c>
      <c r="E10">
        <v>1</v>
      </c>
    </row>
    <row r="13" spans="1:7">
      <c r="A13" t="s">
        <v>55</v>
      </c>
    </row>
    <row r="14" spans="1:7">
      <c r="A14" t="s">
        <v>56</v>
      </c>
      <c r="C14" t="s">
        <v>57</v>
      </c>
    </row>
    <row r="15" spans="1:7">
      <c r="A15" t="s">
        <v>58</v>
      </c>
      <c r="C15" t="s">
        <v>59</v>
      </c>
    </row>
    <row r="16" spans="1:7">
      <c r="A16" t="s">
        <v>60</v>
      </c>
      <c r="C16" t="s">
        <v>61</v>
      </c>
    </row>
    <row r="17" spans="1:3">
      <c r="A17" t="s">
        <v>62</v>
      </c>
      <c r="C17" t="s">
        <v>38</v>
      </c>
    </row>
    <row r="18" spans="1:3">
      <c r="A18" t="s">
        <v>63</v>
      </c>
      <c r="C18" t="s">
        <v>64</v>
      </c>
    </row>
    <row r="19" spans="1:3">
      <c r="A19" t="s">
        <v>45</v>
      </c>
      <c r="C19" t="s">
        <v>65</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9598E-50E9-4A41-8331-B8FE735B8B03}">
  <sheetPr codeName="Sheet9"/>
  <dimension ref="A2:C9"/>
  <sheetViews>
    <sheetView zoomScale="120" zoomScaleNormal="120" workbookViewId="0">
      <selection activeCell="F35" sqref="F35"/>
    </sheetView>
  </sheetViews>
  <sheetFormatPr defaultRowHeight="14.4"/>
  <cols>
    <col min="2" max="2" width="55" bestFit="1" customWidth="1"/>
  </cols>
  <sheetData>
    <row r="2" spans="1:3">
      <c r="A2" t="s">
        <v>49</v>
      </c>
    </row>
    <row r="3" spans="1:3">
      <c r="A3">
        <v>1</v>
      </c>
      <c r="B3" t="s">
        <v>50</v>
      </c>
      <c r="C3" s="5"/>
    </row>
    <row r="4" spans="1:3">
      <c r="A4">
        <v>2</v>
      </c>
      <c r="B4" t="s">
        <v>51</v>
      </c>
      <c r="C4" s="6"/>
    </row>
    <row r="5" spans="1:3">
      <c r="A5">
        <v>3</v>
      </c>
      <c r="B5" t="s">
        <v>53</v>
      </c>
    </row>
    <row r="6" spans="1:3">
      <c r="A6">
        <v>4</v>
      </c>
      <c r="B6" t="s">
        <v>52</v>
      </c>
    </row>
    <row r="7" spans="1:3">
      <c r="A7">
        <v>5</v>
      </c>
      <c r="B7" t="s">
        <v>54</v>
      </c>
    </row>
    <row r="8" spans="1:3">
      <c r="A8">
        <v>6</v>
      </c>
      <c r="B8" t="s">
        <v>68</v>
      </c>
    </row>
    <row r="9" spans="1:3">
      <c r="B9" t="s">
        <v>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Team Document" ma:contentTypeID="0x010100A35317DCC28344A7B82488658A034A5C01001A91AC2659B5A84A8CC144E524061AA8" ma:contentTypeVersion="6" ma:contentTypeDescription=" " ma:contentTypeScope="" ma:versionID="e570307a2f14da6a84282b9e189e7b66">
  <xsd:schema xmlns:xsd="http://www.w3.org/2001/XMLSchema" xmlns:xs="http://www.w3.org/2001/XMLSchema" xmlns:p="http://schemas.microsoft.com/office/2006/metadata/properties" xmlns:ns2="6437cc01-85ef-4cea-b2b0-51f006c1e254" xmlns:ns3="2f6a910d-138e-42c1-8e8a-320c1b7cf3f7" xmlns:ns5="6237a620-4404-4ca8-96d7-38aaa0267616" targetNamespace="http://schemas.microsoft.com/office/2006/metadata/properties" ma:root="true" ma:fieldsID="6e73645933ef585a6f7a2f4712915abf" ns2:_="" ns3:_="" ns5:_="">
    <xsd:import namespace="6437cc01-85ef-4cea-b2b0-51f006c1e254"/>
    <xsd:import namespace="2f6a910d-138e-42c1-8e8a-320c1b7cf3f7"/>
    <xsd:import namespace="6237a620-4404-4ca8-96d7-38aaa0267616"/>
    <xsd:element name="properties">
      <xsd:complexType>
        <xsd:sequence>
          <xsd:element name="documentManagement">
            <xsd:complexType>
              <xsd:all>
                <xsd:element ref="ns2:_dlc_DocId" minOccurs="0"/>
                <xsd:element ref="ns2:_dlc_DocIdUrl" minOccurs="0"/>
                <xsd:element ref="ns2:_dlc_DocIdPersistId" minOccurs="0"/>
                <xsd:element ref="ns3:TNOC_ClusterName" minOccurs="0"/>
                <xsd:element ref="ns3:TNOC_ClusterId" minOccurs="0"/>
                <xsd:element ref="ns2:h15fbb78f4cb41d290e72f301ea2865f" minOccurs="0"/>
                <xsd:element ref="ns2:TaxCatchAll" minOccurs="0"/>
                <xsd:element ref="ns2:TaxCatchAllLabel" minOccurs="0"/>
                <xsd:element ref="ns2:n2a7a23bcc2241cb9261f9a914c7c1bb" minOccurs="0"/>
                <xsd:element ref="ns2:lca20d149a844688b6abf34073d5c21d" minOccurs="0"/>
                <xsd:element ref="ns2:cf581d8792c646118aad2c2c4ecdfa8c" minOccurs="0"/>
                <xsd:element ref="ns2:bac4ab11065f4f6c809c820c57e320e5" minOccurs="0"/>
                <xsd:element ref="ns2:SharedWithUsers" minOccurs="0"/>
                <xsd:element ref="ns2:SharedWithDetails" minOccurs="0"/>
                <xsd:element ref="ns5:MediaServiceMetadata" minOccurs="0"/>
                <xsd:element ref="ns5:MediaServiceFastMetadata" minOccurs="0"/>
                <xsd:element ref="ns5: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37cc01-85ef-4cea-b2b0-51f006c1e25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15fbb78f4cb41d290e72f301ea2865f" ma:index="13" nillable="true" ma:taxonomy="true" ma:internalName="h15fbb78f4cb41d290e72f301ea2865f" ma:taxonomyFieldName="TNOC_ClusterType" ma:displayName="Cluster type" ma:default="1;#Project|fa11c4c9-105f-402c-bb40-9a56b4989397" ma:fieldId="{115fbb78-f4cb-41d2-90e7-2f301ea2865f}" ma:sspId="7378aa68-586f-4892-bb77-0985b40f41a6" ma:termSetId="e7feef8e-5ede-44cd-b7d5-7ed7dacef0b4" ma:anchorId="00000000-0000-0000-0000-000000000000" ma:open="false" ma:isKeyword="false">
      <xsd:complexType>
        <xsd:sequence>
          <xsd:element ref="pc:Terms" minOccurs="0" maxOccurs="1"/>
        </xsd:sequence>
      </xsd:complexType>
    </xsd:element>
    <xsd:element name="TaxCatchAll" ma:index="14" nillable="true" ma:displayName="Taxonomy Catch All Column" ma:hidden="true" ma:list="{d88fb64c-c1e4-471a-8972-0f9d6f9df463}" ma:internalName="TaxCatchAll" ma:showField="CatchAllData" ma:web="6437cc01-85ef-4cea-b2b0-51f006c1e254">
      <xsd:complexType>
        <xsd:complexContent>
          <xsd:extension base="dms:MultiChoiceLookup">
            <xsd:sequence>
              <xsd:element name="Value" type="dms:Lookup" maxOccurs="unbounded" minOccurs="0" nillable="true"/>
            </xsd:sequence>
          </xsd:extension>
        </xsd:complexContent>
      </xsd:complexType>
    </xsd:element>
    <xsd:element name="TaxCatchAllLabel" ma:index="15" nillable="true" ma:displayName="Taxonomy Catch All Column1" ma:hidden="true" ma:list="{d88fb64c-c1e4-471a-8972-0f9d6f9df463}" ma:internalName="TaxCatchAllLabel" ma:readOnly="true" ma:showField="CatchAllDataLabel" ma:web="6437cc01-85ef-4cea-b2b0-51f006c1e254">
      <xsd:complexType>
        <xsd:complexContent>
          <xsd:extension base="dms:MultiChoiceLookup">
            <xsd:sequence>
              <xsd:element name="Value" type="dms:Lookup" maxOccurs="unbounded" minOccurs="0" nillable="true"/>
            </xsd:sequence>
          </xsd:extension>
        </xsd:complexContent>
      </xsd:complexType>
    </xsd:element>
    <xsd:element name="n2a7a23bcc2241cb9261f9a914c7c1bb" ma:index="17" nillable="true" ma:taxonomy="true" ma:internalName="n2a7a23bcc2241cb9261f9a914c7c1bb" ma:taxonomyFieldName="TNOC_DocumentClassification" ma:displayName="Document classification" ma:default="5;#TNO Internal|1a23c89f-ef54-4907-86fd-8242403ff722" ma:fieldId="{72a7a23b-cc22-41cb-9261-f9a914c7c1bb}" ma:sspId="7378aa68-586f-4892-bb77-0985b40f41a6" ma:termSetId="ff8f31fd-7572-41dc-9fe4-bd4c6d280f39" ma:anchorId="00000000-0000-0000-0000-000000000000" ma:open="false" ma:isKeyword="false">
      <xsd:complexType>
        <xsd:sequence>
          <xsd:element ref="pc:Terms" minOccurs="0" maxOccurs="1"/>
        </xsd:sequence>
      </xsd:complexType>
    </xsd:element>
    <xsd:element name="lca20d149a844688b6abf34073d5c21d" ma:index="19" nillable="true" ma:taxonomy="true" ma:internalName="lca20d149a844688b6abf34073d5c21d" ma:taxonomyFieldName="TNOC_DocumentType" ma:displayName="Document type" ma:fieldId="{5ca20d14-9a84-4688-b6ab-f34073d5c21d}" ma:sspId="7378aa68-586f-4892-bb77-0985b40f41a6" ma:termSetId="e8a13a9e-c4f3-4184-b8d9-8210abad4948" ma:anchorId="00000000-0000-0000-0000-000000000000" ma:open="false" ma:isKeyword="false">
      <xsd:complexType>
        <xsd:sequence>
          <xsd:element ref="pc:Terms" minOccurs="0" maxOccurs="1"/>
        </xsd:sequence>
      </xsd:complexType>
    </xsd:element>
    <xsd:element name="cf581d8792c646118aad2c2c4ecdfa8c" ma:index="22" nillable="true" ma:taxonomy="true" ma:internalName="cf581d8792c646118aad2c2c4ecdfa8c" ma:taxonomyFieldName="TNOC_DocumentSetType" ma:displayName="Document set type" ma:readOnly="false" ma:fieldId="{cf581d87-92c6-4611-8aad-2c2c4ecdfa8c}" ma:sspId="7378aa68-586f-4892-bb77-0985b40f41a6" ma:termSetId="a8d4306b-62bf-468f-9587-ff078c864327" ma:anchorId="00000000-0000-0000-0000-000000000000" ma:open="false" ma:isKeyword="false">
      <xsd:complexType>
        <xsd:sequence>
          <xsd:element ref="pc:Terms" minOccurs="0" maxOccurs="1"/>
        </xsd:sequence>
      </xsd:complexType>
    </xsd:element>
    <xsd:element name="bac4ab11065f4f6c809c820c57e320e5" ma:index="24" nillable="true" ma:taxonomy="true" ma:internalName="bac4ab11065f4f6c809c820c57e320e5" ma:taxonomyFieldName="TNOC_DocumentCategory" ma:displayName="Document category" ma:fieldId="{bac4ab11-065f-4f6c-809c-820c57e320e5}" ma:sspId="7378aa68-586f-4892-bb77-0985b40f41a6" ma:termSetId="94d42b6a-4155-4fa6-95e9-087bc306ceb3" ma:anchorId="00000000-0000-0000-0000-000000000000" ma:open="false" ma:isKeyword="false">
      <xsd:complexType>
        <xsd:sequence>
          <xsd:element ref="pc:Terms" minOccurs="0" maxOccurs="1"/>
        </xsd:sequence>
      </xsd:complexType>
    </xsd:element>
    <xsd:element name="SharedWithUsers" ma:index="2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6a910d-138e-42c1-8e8a-320c1b7cf3f7" elementFormDefault="qualified">
    <xsd:import namespace="http://schemas.microsoft.com/office/2006/documentManagement/types"/>
    <xsd:import namespace="http://schemas.microsoft.com/office/infopath/2007/PartnerControls"/>
    <xsd:element name="TNOC_ClusterName" ma:index="11" nillable="true" ma:displayName="Cluster name" ma:default="KIP 2018- Data en Mod v Bereikbaarheid" ma:internalName="TNOC_ClusterName">
      <xsd:simpleType>
        <xsd:restriction base="dms:Text">
          <xsd:maxLength value="255"/>
        </xsd:restriction>
      </xsd:simpleType>
    </xsd:element>
    <xsd:element name="TNOC_ClusterId" ma:index="12" nillable="true" ma:displayName="Cluster ID" ma:default="060.31638" ma:internalName="TNOC_ClusterId">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237a620-4404-4ca8-96d7-38aaa0267616"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AutoTags" ma:index="30"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1" ma:displayName="Autho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NOC_ClusterId xmlns="2f6a910d-138e-42c1-8e8a-320c1b7cf3f7">060.31638</TNOC_ClusterId>
    <h15fbb78f4cb41d290e72f301ea2865f xmlns="6437cc01-85ef-4cea-b2b0-51f006c1e254">
      <Terms xmlns="http://schemas.microsoft.com/office/infopath/2007/PartnerControls">
        <TermInfo xmlns="http://schemas.microsoft.com/office/infopath/2007/PartnerControls">
          <TermName xmlns="http://schemas.microsoft.com/office/infopath/2007/PartnerControls">Project</TermName>
          <TermId xmlns="http://schemas.microsoft.com/office/infopath/2007/PartnerControls">fa11c4c9-105f-402c-bb40-9a56b4989397</TermId>
        </TermInfo>
      </Terms>
    </h15fbb78f4cb41d290e72f301ea2865f>
    <lca20d149a844688b6abf34073d5c21d xmlns="6437cc01-85ef-4cea-b2b0-51f006c1e254">
      <Terms xmlns="http://schemas.microsoft.com/office/infopath/2007/PartnerControls"/>
    </lca20d149a844688b6abf34073d5c21d>
    <bac4ab11065f4f6c809c820c57e320e5 xmlns="6437cc01-85ef-4cea-b2b0-51f006c1e254">
      <Terms xmlns="http://schemas.microsoft.com/office/infopath/2007/PartnerControls"/>
    </bac4ab11065f4f6c809c820c57e320e5>
    <cf581d8792c646118aad2c2c4ecdfa8c xmlns="6437cc01-85ef-4cea-b2b0-51f006c1e254">
      <Terms xmlns="http://schemas.microsoft.com/office/infopath/2007/PartnerControls"/>
    </cf581d8792c646118aad2c2c4ecdfa8c>
    <_dlc_DocId xmlns="6437cc01-85ef-4cea-b2b0-51f006c1e254">VD3KYTMQT6R6-1080501594-313</_dlc_DocId>
    <TaxCatchAll xmlns="6437cc01-85ef-4cea-b2b0-51f006c1e254">
      <Value>5</Value>
      <Value>1</Value>
    </TaxCatchAll>
    <_dlc_DocIdUrl xmlns="6437cc01-85ef-4cea-b2b0-51f006c1e254">
      <Url>https://365tno.sharepoint.com/teams/P060.31638/_layouts/15/DocIdRedir.aspx?ID=VD3KYTMQT6R6-1080501594-313</Url>
      <Description>VD3KYTMQT6R6-1080501594-313</Description>
    </_dlc_DocIdUrl>
    <n2a7a23bcc2241cb9261f9a914c7c1bb xmlns="6437cc01-85ef-4cea-b2b0-51f006c1e254">
      <Terms xmlns="http://schemas.microsoft.com/office/infopath/2007/PartnerControls">
        <TermInfo xmlns="http://schemas.microsoft.com/office/infopath/2007/PartnerControls">
          <TermName xmlns="http://schemas.microsoft.com/office/infopath/2007/PartnerControls">TNO Internal</TermName>
          <TermId xmlns="http://schemas.microsoft.com/office/infopath/2007/PartnerControls">1a23c89f-ef54-4907-86fd-8242403ff722</TermId>
        </TermInfo>
      </Terms>
    </n2a7a23bcc2241cb9261f9a914c7c1bb>
    <TNOC_ClusterName xmlns="2f6a910d-138e-42c1-8e8a-320c1b7cf3f7">KIP 2018- Data en Mod v Bereikbaarheid</TNOC_ClusterName>
  </documentManagement>
</p:properties>
</file>

<file path=customXml/itemProps1.xml><?xml version="1.0" encoding="utf-8"?>
<ds:datastoreItem xmlns:ds="http://schemas.openxmlformats.org/officeDocument/2006/customXml" ds:itemID="{17BA353E-27DE-49B0-97E3-F018117A6F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37cc01-85ef-4cea-b2b0-51f006c1e254"/>
    <ds:schemaRef ds:uri="2f6a910d-138e-42c1-8e8a-320c1b7cf3f7"/>
    <ds:schemaRef ds:uri="6237a620-4404-4ca8-96d7-38aaa02676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4F62F-E4BB-42E8-96ED-00DF8B4FFFFB}">
  <ds:schemaRefs>
    <ds:schemaRef ds:uri="http://schemas.microsoft.com/sharepoint/events"/>
  </ds:schemaRefs>
</ds:datastoreItem>
</file>

<file path=customXml/itemProps3.xml><?xml version="1.0" encoding="utf-8"?>
<ds:datastoreItem xmlns:ds="http://schemas.openxmlformats.org/officeDocument/2006/customXml" ds:itemID="{A8563D21-E2FE-4B21-A3FE-EAAC8C99F229}">
  <ds:schemaRefs>
    <ds:schemaRef ds:uri="http://schemas.microsoft.com/sharepoint/v3/contenttype/forms"/>
  </ds:schemaRefs>
</ds:datastoreItem>
</file>

<file path=customXml/itemProps4.xml><?xml version="1.0" encoding="utf-8"?>
<ds:datastoreItem xmlns:ds="http://schemas.openxmlformats.org/officeDocument/2006/customXml" ds:itemID="{CE676487-CC72-450A-9495-88BF60D50DC1}">
  <ds:schemaRefs>
    <ds:schemaRef ds:uri="http://purl.org/dc/terms/"/>
    <ds:schemaRef ds:uri="6237a620-4404-4ca8-96d7-38aaa0267616"/>
    <ds:schemaRef ds:uri="http://schemas.microsoft.com/office/infopath/2007/PartnerControls"/>
    <ds:schemaRef ds:uri="http://schemas.microsoft.com/office/2006/documentManagement/types"/>
    <ds:schemaRef ds:uri="6437cc01-85ef-4cea-b2b0-51f006c1e254"/>
    <ds:schemaRef ds:uri="http://purl.org/dc/elements/1.1/"/>
    <ds:schemaRef ds:uri="http://schemas.openxmlformats.org/package/2006/metadata/core-properties"/>
    <ds:schemaRef ds:uri="http://schemas.microsoft.com/office/2006/metadata/properties"/>
    <ds:schemaRef ds:uri="2f6a910d-138e-42c1-8e8a-320c1b7cf3f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Modes_MaaS</vt:lpstr>
      <vt:lpstr>modeMaaS_REF</vt:lpstr>
      <vt:lpstr>access egress</vt:lpstr>
      <vt:lpstr>tours_asim</vt:lpstr>
      <vt:lpstr>persons_asim</vt:lpstr>
      <vt:lpstr>LOS skims</vt:lpstr>
      <vt:lpstr>Modes(deprecated)</vt:lpstr>
      <vt:lpstr>Tours</vt:lpstr>
      <vt:lpstr>persons</vt:lpstr>
      <vt:lpstr>Utility_Prob</vt:lpstr>
      <vt:lpstr>location restrictions</vt:lpstr>
      <vt:lpstr>aantekeningen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 Zhou</cp:lastModifiedBy>
  <dcterms:created xsi:type="dcterms:W3CDTF">2015-06-05T18:17:20Z</dcterms:created>
  <dcterms:modified xsi:type="dcterms:W3CDTF">2020-07-10T13:41:44Z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NOC_DocumentClassification">
    <vt:lpwstr>5;#TNO Internal|1a23c89f-ef54-4907-86fd-8242403ff722</vt:lpwstr>
  </property>
  <property fmtid="{D5CDD505-2E9C-101B-9397-08002B2CF9AE}" pid="3" name="ContentTypeId">
    <vt:lpwstr>0x010100A35317DCC28344A7B82488658A034A5C01001A91AC2659B5A84A8CC144E524061AA8</vt:lpwstr>
  </property>
  <property fmtid="{D5CDD505-2E9C-101B-9397-08002B2CF9AE}" pid="4" name="TNOC_DocumentType">
    <vt:lpwstr/>
  </property>
  <property fmtid="{D5CDD505-2E9C-101B-9397-08002B2CF9AE}" pid="5" name="TNOC_DocumentCategory">
    <vt:lpwstr/>
  </property>
  <property fmtid="{D5CDD505-2E9C-101B-9397-08002B2CF9AE}" pid="6" name="TNOC_ClusterType">
    <vt:lpwstr>1;#Project|fa11c4c9-105f-402c-bb40-9a56b4989397</vt:lpwstr>
  </property>
  <property fmtid="{D5CDD505-2E9C-101B-9397-08002B2CF9AE}" pid="7" name="_dlc_DocIdItemGuid">
    <vt:lpwstr>27a206cf-cb77-48fb-b94f-329e2162ed78</vt:lpwstr>
  </property>
  <property fmtid="{D5CDD505-2E9C-101B-9397-08002B2CF9AE}" pid="8" name="TNOC_DocumentSetType">
    <vt:lpwstr/>
  </property>
</Properties>
</file>